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sung/Downloads/"/>
    </mc:Choice>
  </mc:AlternateContent>
  <xr:revisionPtr revIDLastSave="0" documentId="13_ncr:1_{34CD7FFA-EDA2-1145-A6C6-4360D823273A}" xr6:coauthVersionLast="47" xr6:coauthVersionMax="47" xr10:uidLastSave="{00000000-0000-0000-0000-000000000000}"/>
  <bookViews>
    <workbookView xWindow="0" yWindow="600" windowWidth="51200" windowHeight="26700" xr2:uid="{79259C5D-2563-F647-B29C-4C8B5F25504F}"/>
  </bookViews>
  <sheets>
    <sheet name="Same interv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3" l="1"/>
  <c r="F73" i="3" s="1"/>
  <c r="D1" i="3"/>
  <c r="I8" i="3" s="1"/>
  <c r="C7" i="3"/>
  <c r="C8" i="3"/>
  <c r="C9" i="3" s="1"/>
  <c r="E9" i="3" l="1"/>
  <c r="C10" i="3"/>
  <c r="I10" i="3"/>
  <c r="K8" i="3"/>
  <c r="F7" i="3"/>
  <c r="L69" i="3"/>
  <c r="F43" i="3"/>
  <c r="L42" i="3"/>
  <c r="F52" i="3"/>
  <c r="F67" i="3"/>
  <c r="L28" i="3"/>
  <c r="L62" i="3"/>
  <c r="F50" i="3"/>
  <c r="L34" i="3"/>
  <c r="L20" i="3"/>
  <c r="F24" i="3"/>
  <c r="F60" i="3"/>
  <c r="E6" i="3"/>
  <c r="L45" i="3"/>
  <c r="L41" i="3"/>
  <c r="L52" i="3"/>
  <c r="L25" i="3"/>
  <c r="F70" i="3"/>
  <c r="F34" i="3"/>
  <c r="E76" i="3"/>
  <c r="F72" i="3"/>
  <c r="E8" i="3"/>
  <c r="R19" i="3"/>
  <c r="L35" i="3"/>
  <c r="F28" i="3"/>
  <c r="F15" i="3"/>
  <c r="L8" i="3"/>
  <c r="K76" i="3"/>
  <c r="F38" i="3"/>
  <c r="F68" i="3"/>
  <c r="F71" i="3"/>
  <c r="L40" i="3"/>
  <c r="F56" i="3"/>
  <c r="L67" i="3"/>
  <c r="F42" i="3"/>
  <c r="F48" i="3"/>
  <c r="L14" i="3"/>
  <c r="F21" i="3"/>
  <c r="F58" i="3"/>
  <c r="L66" i="3"/>
  <c r="L32" i="3"/>
  <c r="F47" i="3"/>
  <c r="L21" i="3"/>
  <c r="F17" i="3"/>
  <c r="L55" i="3"/>
  <c r="L72" i="3"/>
  <c r="F10" i="3"/>
  <c r="L26" i="3"/>
  <c r="F14" i="3"/>
  <c r="F63" i="3"/>
  <c r="F31" i="3"/>
  <c r="L50" i="3"/>
  <c r="F61" i="3"/>
  <c r="F55" i="3"/>
  <c r="AD62" i="3"/>
  <c r="R40" i="3"/>
  <c r="Q54" i="3"/>
  <c r="R42" i="3"/>
  <c r="Q60" i="3"/>
  <c r="AC62" i="3"/>
  <c r="R39" i="3"/>
  <c r="Q62" i="3"/>
  <c r="Q35" i="3"/>
  <c r="R30" i="3"/>
  <c r="Q42" i="3"/>
  <c r="R60" i="3"/>
  <c r="R54" i="3"/>
  <c r="X62" i="3"/>
  <c r="Q34" i="3"/>
  <c r="Q40" i="3"/>
  <c r="Q46" i="3"/>
  <c r="Q52" i="3"/>
  <c r="Q58" i="3"/>
  <c r="R25" i="3"/>
  <c r="R62" i="3"/>
  <c r="R34" i="3"/>
  <c r="W62" i="3"/>
  <c r="AD20" i="3"/>
  <c r="AC20" i="3"/>
  <c r="R35" i="3"/>
  <c r="R41" i="3"/>
  <c r="R47" i="3"/>
  <c r="R53" i="3"/>
  <c r="Q30" i="3"/>
  <c r="Q24" i="3"/>
  <c r="Q61" i="3"/>
  <c r="X20" i="3"/>
  <c r="W20" i="3"/>
  <c r="Q31" i="3"/>
  <c r="Q37" i="3"/>
  <c r="Q43" i="3"/>
  <c r="Q49" i="3"/>
  <c r="Q55" i="3"/>
  <c r="R28" i="3"/>
  <c r="R65" i="3"/>
  <c r="R29" i="3"/>
  <c r="R36" i="3"/>
  <c r="Q29" i="3"/>
  <c r="R31" i="3"/>
  <c r="R37" i="3"/>
  <c r="R43" i="3"/>
  <c r="R49" i="3"/>
  <c r="R55" i="3"/>
  <c r="Q28" i="3"/>
  <c r="Q65" i="3"/>
  <c r="Q38" i="3"/>
  <c r="Q44" i="3"/>
  <c r="Q50" i="3"/>
  <c r="Q56" i="3"/>
  <c r="R27" i="3"/>
  <c r="R64" i="3"/>
  <c r="R51" i="3"/>
  <c r="Q63" i="3"/>
  <c r="R52" i="3"/>
  <c r="Q25" i="3"/>
  <c r="Q47" i="3"/>
  <c r="Q53" i="3"/>
  <c r="R61" i="3"/>
  <c r="Q48" i="3"/>
  <c r="Q32" i="3"/>
  <c r="R32" i="3"/>
  <c r="R38" i="3"/>
  <c r="R44" i="3"/>
  <c r="R50" i="3"/>
  <c r="R56" i="3"/>
  <c r="Q27" i="3"/>
  <c r="Q64" i="3"/>
  <c r="Q33" i="3"/>
  <c r="Q39" i="3"/>
  <c r="Q45" i="3"/>
  <c r="Q51" i="3"/>
  <c r="Q57" i="3"/>
  <c r="R26" i="3"/>
  <c r="R63" i="3"/>
  <c r="R33" i="3"/>
  <c r="R45" i="3"/>
  <c r="R57" i="3"/>
  <c r="Q26" i="3"/>
  <c r="R46" i="3"/>
  <c r="R58" i="3"/>
  <c r="Q41" i="3"/>
  <c r="R24" i="3"/>
  <c r="Q36" i="3"/>
  <c r="R66" i="3"/>
  <c r="R48" i="3"/>
  <c r="Q66" i="3"/>
  <c r="F45" i="3"/>
  <c r="F40" i="3"/>
  <c r="L44" i="3"/>
  <c r="R16" i="3"/>
  <c r="F6" i="3"/>
  <c r="F69" i="3"/>
  <c r="L9" i="3"/>
  <c r="F36" i="3"/>
  <c r="L70" i="3"/>
  <c r="L10" i="3"/>
  <c r="F75" i="3"/>
  <c r="F41" i="3"/>
  <c r="L15" i="3"/>
  <c r="F66" i="3"/>
  <c r="F44" i="3"/>
  <c r="F33" i="3"/>
  <c r="L63" i="3"/>
  <c r="L46" i="3"/>
  <c r="L68" i="3"/>
  <c r="L64" i="3"/>
  <c r="L11" i="3"/>
  <c r="R17" i="3"/>
  <c r="F11" i="3"/>
  <c r="L74" i="3"/>
  <c r="R18" i="3"/>
  <c r="F35" i="3"/>
  <c r="R22" i="3"/>
  <c r="L43" i="3"/>
  <c r="F9" i="3"/>
  <c r="L38" i="3"/>
  <c r="L22" i="3"/>
  <c r="F51" i="3"/>
  <c r="L13" i="3"/>
  <c r="E7" i="3"/>
  <c r="F64" i="3"/>
  <c r="L12" i="3"/>
  <c r="L71" i="3"/>
  <c r="L73" i="3"/>
  <c r="L39" i="3"/>
  <c r="F32" i="3"/>
  <c r="F27" i="3"/>
  <c r="L76" i="3"/>
  <c r="L29" i="3"/>
  <c r="L65" i="3"/>
  <c r="F8" i="3"/>
  <c r="F39" i="3"/>
  <c r="L18" i="3"/>
  <c r="L7" i="3"/>
  <c r="L60" i="3"/>
  <c r="F29" i="3"/>
  <c r="Q16" i="3"/>
  <c r="Q17" i="3"/>
  <c r="I11" i="3"/>
  <c r="K11" i="3" s="1"/>
  <c r="I12" i="3"/>
  <c r="K10" i="3"/>
  <c r="L48" i="3"/>
  <c r="F76" i="3"/>
  <c r="F57" i="3"/>
  <c r="F49" i="3"/>
  <c r="F25" i="3"/>
  <c r="F12" i="3"/>
  <c r="F26" i="3"/>
  <c r="L30" i="3"/>
  <c r="L75" i="3"/>
  <c r="L47" i="3"/>
  <c r="L23" i="3"/>
  <c r="L36" i="3"/>
  <c r="I7" i="3"/>
  <c r="K7" i="3" s="1"/>
  <c r="I9" i="3"/>
  <c r="K9" i="3" s="1"/>
  <c r="L61" i="3"/>
  <c r="F65" i="3"/>
  <c r="L17" i="3"/>
  <c r="F37" i="3"/>
  <c r="L24" i="3"/>
  <c r="K6" i="3"/>
  <c r="F19" i="3"/>
  <c r="R21" i="3"/>
  <c r="L27" i="3"/>
  <c r="L6" i="3"/>
  <c r="L56" i="3"/>
  <c r="L59" i="3"/>
  <c r="F16" i="3"/>
  <c r="L37" i="3"/>
  <c r="F23" i="3"/>
  <c r="F46" i="3"/>
  <c r="L16" i="3"/>
  <c r="F20" i="3"/>
  <c r="L19" i="3"/>
  <c r="F74" i="3"/>
  <c r="F22" i="3"/>
  <c r="F30" i="3"/>
  <c r="L49" i="3"/>
  <c r="L33" i="3"/>
  <c r="L53" i="3"/>
  <c r="F13" i="3"/>
  <c r="F62" i="3"/>
  <c r="F53" i="3"/>
  <c r="L51" i="3"/>
  <c r="F59" i="3"/>
  <c r="L58" i="3"/>
  <c r="L54" i="3"/>
  <c r="L31" i="3"/>
  <c r="F54" i="3"/>
  <c r="F18" i="3"/>
  <c r="L57" i="3"/>
  <c r="R20" i="3"/>
  <c r="E10" i="3" l="1"/>
  <c r="C11" i="3"/>
  <c r="I14" i="3"/>
  <c r="I13" i="3"/>
  <c r="K13" i="3" s="1"/>
  <c r="K12" i="3"/>
  <c r="Q18" i="3"/>
  <c r="Q19" i="3"/>
  <c r="E11" i="3" l="1"/>
  <c r="C12" i="3"/>
  <c r="Q22" i="3"/>
  <c r="Q21" i="3"/>
  <c r="Q20" i="3"/>
  <c r="I16" i="3"/>
  <c r="K14" i="3"/>
  <c r="I15" i="3"/>
  <c r="K15" i="3" s="1"/>
  <c r="E12" i="3" l="1"/>
  <c r="C13" i="3"/>
  <c r="I18" i="3"/>
  <c r="I17" i="3"/>
  <c r="K17" i="3" s="1"/>
  <c r="K16" i="3"/>
  <c r="C14" i="3" l="1"/>
  <c r="E13" i="3"/>
  <c r="I20" i="3"/>
  <c r="K18" i="3"/>
  <c r="I19" i="3"/>
  <c r="K19" i="3" s="1"/>
  <c r="E14" i="3" l="1"/>
  <c r="C15" i="3"/>
  <c r="I22" i="3"/>
  <c r="I21" i="3"/>
  <c r="K21" i="3" s="1"/>
  <c r="K20" i="3"/>
  <c r="E15" i="3" l="1"/>
  <c r="C16" i="3"/>
  <c r="I23" i="3"/>
  <c r="K23" i="3" s="1"/>
  <c r="I24" i="3"/>
  <c r="K22" i="3"/>
  <c r="C17" i="3" l="1"/>
  <c r="E16" i="3"/>
  <c r="K24" i="3"/>
  <c r="I26" i="3"/>
  <c r="I25" i="3"/>
  <c r="K25" i="3" s="1"/>
  <c r="C18" i="3" l="1"/>
  <c r="E17" i="3"/>
  <c r="I28" i="3"/>
  <c r="K26" i="3"/>
  <c r="I27" i="3"/>
  <c r="K27" i="3" s="1"/>
  <c r="C19" i="3" l="1"/>
  <c r="E18" i="3"/>
  <c r="I29" i="3"/>
  <c r="K29" i="3" s="1"/>
  <c r="I30" i="3"/>
  <c r="K28" i="3"/>
  <c r="C20" i="3" l="1"/>
  <c r="E19" i="3"/>
  <c r="I31" i="3"/>
  <c r="K31" i="3" s="1"/>
  <c r="I32" i="3"/>
  <c r="K30" i="3"/>
  <c r="C21" i="3" l="1"/>
  <c r="E20" i="3"/>
  <c r="I34" i="3"/>
  <c r="I33" i="3"/>
  <c r="K33" i="3" s="1"/>
  <c r="K32" i="3"/>
  <c r="C22" i="3" l="1"/>
  <c r="E21" i="3"/>
  <c r="K34" i="3"/>
  <c r="I35" i="3"/>
  <c r="K35" i="3" s="1"/>
  <c r="I36" i="3"/>
  <c r="C23" i="3" l="1"/>
  <c r="E22" i="3"/>
  <c r="K36" i="3"/>
  <c r="I38" i="3"/>
  <c r="I37" i="3"/>
  <c r="K37" i="3" s="1"/>
  <c r="C24" i="3" l="1"/>
  <c r="E23" i="3"/>
  <c r="I40" i="3"/>
  <c r="I39" i="3"/>
  <c r="K39" i="3" s="1"/>
  <c r="K38" i="3"/>
  <c r="C25" i="3" l="1"/>
  <c r="E24" i="3"/>
  <c r="K40" i="3"/>
  <c r="I42" i="3"/>
  <c r="I41" i="3"/>
  <c r="K41" i="3" s="1"/>
  <c r="C26" i="3" l="1"/>
  <c r="E25" i="3"/>
  <c r="I44" i="3"/>
  <c r="K42" i="3"/>
  <c r="I43" i="3"/>
  <c r="K43" i="3" s="1"/>
  <c r="C27" i="3" l="1"/>
  <c r="E26" i="3"/>
  <c r="I46" i="3"/>
  <c r="K44" i="3"/>
  <c r="I45" i="3"/>
  <c r="K45" i="3" s="1"/>
  <c r="C28" i="3" l="1"/>
  <c r="E27" i="3"/>
  <c r="I47" i="3"/>
  <c r="K47" i="3" s="1"/>
  <c r="I48" i="3"/>
  <c r="K46" i="3"/>
  <c r="C29" i="3" l="1"/>
  <c r="E28" i="3"/>
  <c r="K48" i="3"/>
  <c r="I49" i="3"/>
  <c r="K49" i="3" s="1"/>
  <c r="I50" i="3"/>
  <c r="C30" i="3" l="1"/>
  <c r="E29" i="3"/>
  <c r="I52" i="3"/>
  <c r="I51" i="3"/>
  <c r="K51" i="3" s="1"/>
  <c r="K50" i="3"/>
  <c r="C31" i="3" l="1"/>
  <c r="E30" i="3"/>
  <c r="I54" i="3"/>
  <c r="I53" i="3"/>
  <c r="K53" i="3" s="1"/>
  <c r="K52" i="3"/>
  <c r="C32" i="3" l="1"/>
  <c r="E31" i="3"/>
  <c r="K54" i="3"/>
  <c r="I55" i="3"/>
  <c r="K55" i="3" s="1"/>
  <c r="I56" i="3"/>
  <c r="C33" i="3" l="1"/>
  <c r="E32" i="3"/>
  <c r="I58" i="3"/>
  <c r="I57" i="3"/>
  <c r="K57" i="3" s="1"/>
  <c r="K56" i="3"/>
  <c r="C34" i="3" l="1"/>
  <c r="E33" i="3"/>
  <c r="I59" i="3"/>
  <c r="K59" i="3" s="1"/>
  <c r="K58" i="3"/>
  <c r="I60" i="3"/>
  <c r="C35" i="3" l="1"/>
  <c r="E34" i="3"/>
  <c r="I62" i="3"/>
  <c r="I61" i="3"/>
  <c r="K61" i="3" s="1"/>
  <c r="K60" i="3"/>
  <c r="C36" i="3" l="1"/>
  <c r="E35" i="3"/>
  <c r="I64" i="3"/>
  <c r="I63" i="3"/>
  <c r="K63" i="3" s="1"/>
  <c r="K62" i="3"/>
  <c r="C37" i="3" l="1"/>
  <c r="E36" i="3"/>
  <c r="K64" i="3"/>
  <c r="I65" i="3"/>
  <c r="K65" i="3" s="1"/>
  <c r="I66" i="3"/>
  <c r="C38" i="3" l="1"/>
  <c r="E37" i="3"/>
  <c r="K66" i="3"/>
  <c r="I68" i="3"/>
  <c r="I67" i="3"/>
  <c r="K67" i="3" s="1"/>
  <c r="C39" i="3" l="1"/>
  <c r="E38" i="3"/>
  <c r="I70" i="3"/>
  <c r="K68" i="3"/>
  <c r="I69" i="3"/>
  <c r="K69" i="3" s="1"/>
  <c r="C40" i="3" l="1"/>
  <c r="E39" i="3"/>
  <c r="I71" i="3"/>
  <c r="K71" i="3" s="1"/>
  <c r="I72" i="3"/>
  <c r="K70" i="3"/>
  <c r="C41" i="3" l="1"/>
  <c r="E40" i="3"/>
  <c r="I74" i="3"/>
  <c r="K72" i="3"/>
  <c r="I73" i="3"/>
  <c r="K73" i="3" s="1"/>
  <c r="C42" i="3" l="1"/>
  <c r="E41" i="3"/>
  <c r="K74" i="3"/>
  <c r="I75" i="3"/>
  <c r="K75" i="3" s="1"/>
  <c r="C43" i="3" l="1"/>
  <c r="E42" i="3"/>
  <c r="C44" i="3" l="1"/>
  <c r="E43" i="3"/>
  <c r="C45" i="3" l="1"/>
  <c r="E44" i="3"/>
  <c r="C46" i="3" l="1"/>
  <c r="E45" i="3"/>
  <c r="C47" i="3" l="1"/>
  <c r="E46" i="3"/>
  <c r="C48" i="3" l="1"/>
  <c r="E47" i="3"/>
  <c r="C49" i="3" l="1"/>
  <c r="E48" i="3"/>
  <c r="C50" i="3" l="1"/>
  <c r="E49" i="3"/>
  <c r="C51" i="3" l="1"/>
  <c r="E50" i="3"/>
  <c r="C52" i="3" l="1"/>
  <c r="E51" i="3"/>
  <c r="C53" i="3" l="1"/>
  <c r="E52" i="3"/>
  <c r="C54" i="3" l="1"/>
  <c r="E53" i="3"/>
  <c r="C55" i="3" l="1"/>
  <c r="E54" i="3"/>
  <c r="C56" i="3" l="1"/>
  <c r="E55" i="3"/>
  <c r="C57" i="3" l="1"/>
  <c r="E56" i="3"/>
  <c r="C58" i="3" l="1"/>
  <c r="E57" i="3"/>
  <c r="C59" i="3" l="1"/>
  <c r="E58" i="3"/>
  <c r="C60" i="3" l="1"/>
  <c r="E59" i="3"/>
  <c r="C61" i="3" l="1"/>
  <c r="E60" i="3"/>
  <c r="C62" i="3" l="1"/>
  <c r="E61" i="3"/>
  <c r="C63" i="3" l="1"/>
  <c r="E62" i="3"/>
  <c r="C64" i="3" l="1"/>
  <c r="E63" i="3"/>
  <c r="C65" i="3" l="1"/>
  <c r="E64" i="3"/>
  <c r="C66" i="3" l="1"/>
  <c r="E65" i="3"/>
  <c r="C67" i="3" l="1"/>
  <c r="E66" i="3"/>
  <c r="C68" i="3" l="1"/>
  <c r="E67" i="3"/>
  <c r="C69" i="3" l="1"/>
  <c r="E68" i="3"/>
  <c r="C70" i="3" l="1"/>
  <c r="E69" i="3"/>
  <c r="C71" i="3" l="1"/>
  <c r="E70" i="3"/>
  <c r="C72" i="3" l="1"/>
  <c r="E71" i="3"/>
  <c r="C73" i="3" l="1"/>
  <c r="E72" i="3"/>
  <c r="C74" i="3" l="1"/>
  <c r="E73" i="3"/>
  <c r="C75" i="3" l="1"/>
  <c r="E75" i="3" s="1"/>
  <c r="E74" i="3"/>
</calcChain>
</file>

<file path=xl/sharedStrings.xml><?xml version="1.0" encoding="utf-8"?>
<sst xmlns="http://schemas.openxmlformats.org/spreadsheetml/2006/main" count="21" uniqueCount="10">
  <si>
    <t>node</t>
  </si>
  <si>
    <t>Pixel_x</t>
  </si>
  <si>
    <t>Pixel_y</t>
  </si>
  <si>
    <t>real_x</t>
  </si>
  <si>
    <t>real_y</t>
  </si>
  <si>
    <t>Bottom</t>
  </si>
  <si>
    <t>Top</t>
  </si>
  <si>
    <t>Interval</t>
  </si>
  <si>
    <t>conversion</t>
  </si>
  <si>
    <t>m/px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</si>
</sst>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7B0E-F82E-454C-8F3C-2B87584A15EA}">
  <dimension ref="B1:AD76"/>
  <sheetViews>
    <sheetView tabSelected="1" zoomScale="104" workbookViewId="0">
      <selection activeCell="AB63" sqref="AB63"/>
    </sheetView>
  </sheetViews>
  <sheetFormatPr baseColWidth="10" defaultRowHeight="16" x14ac:dyDescent="0.2"/>
  <sheetData>
    <row r="1" spans="2:18" x14ac:dyDescent="0.2">
      <c r="C1" t="s">
        <v>7</v>
      </c>
      <c r="D1">
        <f>(C76-C6)/(B76-B6)</f>
        <v>14.485714285714286</v>
      </c>
      <c r="F1" t="s">
        <v>8</v>
      </c>
      <c r="G1">
        <f>932/(C76-C6)</f>
        <v>0.9191321499013807</v>
      </c>
      <c r="H1" t="s">
        <v>9</v>
      </c>
    </row>
    <row r="4" spans="2:18" x14ac:dyDescent="0.2">
      <c r="B4" t="s">
        <v>5</v>
      </c>
      <c r="H4" t="s">
        <v>6</v>
      </c>
      <c r="N4" t="s">
        <v>6</v>
      </c>
    </row>
    <row r="5" spans="2:18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N5" t="s">
        <v>0</v>
      </c>
      <c r="O5" t="s">
        <v>1</v>
      </c>
      <c r="P5" t="s">
        <v>2</v>
      </c>
      <c r="Q5" t="s">
        <v>3</v>
      </c>
      <c r="R5" t="s">
        <v>4</v>
      </c>
    </row>
    <row r="6" spans="2:18" x14ac:dyDescent="0.2">
      <c r="B6" s="1">
        <v>1</v>
      </c>
      <c r="C6">
        <v>4</v>
      </c>
      <c r="D6">
        <v>111</v>
      </c>
      <c r="E6">
        <f>(C6-4)*$G$1</f>
        <v>0</v>
      </c>
      <c r="F6">
        <f>-(D6-111)*$G$1</f>
        <v>0</v>
      </c>
      <c r="H6" s="1">
        <v>72</v>
      </c>
      <c r="I6">
        <v>4</v>
      </c>
      <c r="J6">
        <v>97</v>
      </c>
      <c r="K6">
        <f>(I6-4)*$G$1</f>
        <v>0</v>
      </c>
      <c r="L6">
        <f>-(J6-111)*$G$1</f>
        <v>12.86785009861933</v>
      </c>
    </row>
    <row r="7" spans="2:18" x14ac:dyDescent="0.2">
      <c r="B7">
        <v>2</v>
      </c>
      <c r="C7">
        <f>C6+$D$1</f>
        <v>18.485714285714288</v>
      </c>
      <c r="D7">
        <v>111</v>
      </c>
      <c r="E7">
        <f t="shared" ref="E7:E70" si="0">(C7-4)*$G$1</f>
        <v>13.314285714285717</v>
      </c>
      <c r="F7">
        <f t="shared" ref="F7:F70" si="1">-(D7-111)*$G$1</f>
        <v>0</v>
      </c>
      <c r="H7">
        <v>73</v>
      </c>
      <c r="I7">
        <f>I6+$D$1</f>
        <v>18.485714285714288</v>
      </c>
      <c r="J7">
        <v>97</v>
      </c>
      <c r="K7">
        <f t="shared" ref="K7:K70" si="2">(I7-4)*$G$1</f>
        <v>13.314285714285717</v>
      </c>
      <c r="L7">
        <f t="shared" ref="L7:L70" si="3">-(J7-111)*$G$1</f>
        <v>12.86785009861933</v>
      </c>
    </row>
    <row r="8" spans="2:18" x14ac:dyDescent="0.2">
      <c r="B8">
        <v>3</v>
      </c>
      <c r="C8">
        <f>C7+$D$1</f>
        <v>32.971428571428575</v>
      </c>
      <c r="D8">
        <v>111</v>
      </c>
      <c r="E8">
        <f t="shared" si="0"/>
        <v>26.628571428571433</v>
      </c>
      <c r="F8">
        <f t="shared" si="1"/>
        <v>0</v>
      </c>
      <c r="H8">
        <v>74</v>
      </c>
      <c r="I8">
        <f>I6+$D$1*2</f>
        <v>32.971428571428575</v>
      </c>
      <c r="J8">
        <v>97</v>
      </c>
      <c r="K8">
        <f t="shared" si="2"/>
        <v>26.628571428571433</v>
      </c>
      <c r="L8">
        <f t="shared" si="3"/>
        <v>12.86785009861933</v>
      </c>
    </row>
    <row r="9" spans="2:18" x14ac:dyDescent="0.2">
      <c r="B9">
        <v>4</v>
      </c>
      <c r="C9">
        <f t="shared" ref="C9:C72" si="4">C8+$D$1</f>
        <v>47.457142857142863</v>
      </c>
      <c r="D9">
        <v>111</v>
      </c>
      <c r="E9">
        <f t="shared" si="0"/>
        <v>39.94285714285715</v>
      </c>
      <c r="F9">
        <f t="shared" si="1"/>
        <v>0</v>
      </c>
      <c r="H9">
        <v>75</v>
      </c>
      <c r="I9">
        <f t="shared" ref="I9" si="5">I8+$D$1</f>
        <v>47.457142857142863</v>
      </c>
      <c r="J9">
        <v>97</v>
      </c>
      <c r="K9">
        <f t="shared" si="2"/>
        <v>39.94285714285715</v>
      </c>
      <c r="L9">
        <f t="shared" si="3"/>
        <v>12.86785009861933</v>
      </c>
    </row>
    <row r="10" spans="2:18" x14ac:dyDescent="0.2">
      <c r="B10">
        <v>5</v>
      </c>
      <c r="C10">
        <f t="shared" si="4"/>
        <v>61.94285714285715</v>
      </c>
      <c r="D10">
        <v>111</v>
      </c>
      <c r="E10">
        <f t="shared" si="0"/>
        <v>53.257142857142867</v>
      </c>
      <c r="F10">
        <f t="shared" si="1"/>
        <v>0</v>
      </c>
      <c r="H10">
        <v>76</v>
      </c>
      <c r="I10">
        <f t="shared" ref="I10" si="6">I8+$D$1*2</f>
        <v>61.94285714285715</v>
      </c>
      <c r="J10">
        <v>96</v>
      </c>
      <c r="K10">
        <f t="shared" si="2"/>
        <v>53.257142857142867</v>
      </c>
      <c r="L10">
        <f t="shared" si="3"/>
        <v>13.78698224852071</v>
      </c>
    </row>
    <row r="11" spans="2:18" x14ac:dyDescent="0.2">
      <c r="B11">
        <v>6</v>
      </c>
      <c r="C11">
        <f t="shared" si="4"/>
        <v>76.428571428571431</v>
      </c>
      <c r="D11">
        <v>111</v>
      </c>
      <c r="E11">
        <f t="shared" si="0"/>
        <v>66.571428571428569</v>
      </c>
      <c r="F11">
        <f t="shared" si="1"/>
        <v>0</v>
      </c>
      <c r="H11">
        <v>77</v>
      </c>
      <c r="I11">
        <f t="shared" ref="I11" si="7">I10+$D$1</f>
        <v>76.428571428571431</v>
      </c>
      <c r="J11">
        <v>95</v>
      </c>
      <c r="K11">
        <f t="shared" si="2"/>
        <v>66.571428571428569</v>
      </c>
      <c r="L11">
        <f t="shared" si="3"/>
        <v>14.706114398422091</v>
      </c>
    </row>
    <row r="12" spans="2:18" x14ac:dyDescent="0.2">
      <c r="B12">
        <v>7</v>
      </c>
      <c r="C12">
        <f t="shared" si="4"/>
        <v>90.914285714285711</v>
      </c>
      <c r="D12">
        <v>111</v>
      </c>
      <c r="E12">
        <f t="shared" si="0"/>
        <v>79.885714285714286</v>
      </c>
      <c r="F12">
        <f t="shared" si="1"/>
        <v>0</v>
      </c>
      <c r="H12">
        <v>78</v>
      </c>
      <c r="I12">
        <f t="shared" ref="I12" si="8">I10+$D$1*2</f>
        <v>90.914285714285725</v>
      </c>
      <c r="J12">
        <v>94</v>
      </c>
      <c r="K12">
        <f t="shared" si="2"/>
        <v>79.8857142857143</v>
      </c>
      <c r="L12">
        <f t="shared" si="3"/>
        <v>15.625246548323473</v>
      </c>
    </row>
    <row r="13" spans="2:18" x14ac:dyDescent="0.2">
      <c r="B13">
        <v>8</v>
      </c>
      <c r="C13">
        <f t="shared" si="4"/>
        <v>105.39999999999999</v>
      </c>
      <c r="D13">
        <v>111</v>
      </c>
      <c r="E13">
        <f t="shared" si="0"/>
        <v>93.199999999999989</v>
      </c>
      <c r="F13">
        <f t="shared" si="1"/>
        <v>0</v>
      </c>
      <c r="H13">
        <v>79</v>
      </c>
      <c r="I13">
        <f t="shared" ref="I13" si="9">I12+$D$1</f>
        <v>105.4</v>
      </c>
      <c r="J13">
        <v>93</v>
      </c>
      <c r="K13">
        <f t="shared" si="2"/>
        <v>93.2</v>
      </c>
      <c r="L13">
        <f t="shared" si="3"/>
        <v>16.544378698224854</v>
      </c>
    </row>
    <row r="14" spans="2:18" x14ac:dyDescent="0.2">
      <c r="B14">
        <v>9</v>
      </c>
      <c r="C14">
        <f t="shared" si="4"/>
        <v>119.88571428571427</v>
      </c>
      <c r="D14">
        <v>111</v>
      </c>
      <c r="E14">
        <f t="shared" si="0"/>
        <v>106.51428571428571</v>
      </c>
      <c r="F14">
        <f t="shared" si="1"/>
        <v>0</v>
      </c>
      <c r="H14">
        <v>80</v>
      </c>
      <c r="I14">
        <f t="shared" ref="I14" si="10">I12+$D$1*2</f>
        <v>119.8857142857143</v>
      </c>
      <c r="J14">
        <v>92</v>
      </c>
      <c r="K14">
        <f t="shared" si="2"/>
        <v>106.51428571428573</v>
      </c>
      <c r="L14">
        <f t="shared" si="3"/>
        <v>17.463510848126234</v>
      </c>
    </row>
    <row r="15" spans="2:18" x14ac:dyDescent="0.2">
      <c r="B15" s="1">
        <v>10</v>
      </c>
      <c r="C15">
        <f t="shared" si="4"/>
        <v>134.37142857142857</v>
      </c>
      <c r="D15">
        <v>111</v>
      </c>
      <c r="E15">
        <f t="shared" si="0"/>
        <v>119.82857142857142</v>
      </c>
      <c r="F15">
        <f t="shared" si="1"/>
        <v>0</v>
      </c>
      <c r="H15" s="1">
        <v>81</v>
      </c>
      <c r="I15">
        <f t="shared" ref="I15" si="11">I14+$D$1</f>
        <v>134.37142857142859</v>
      </c>
      <c r="J15">
        <v>90</v>
      </c>
      <c r="K15">
        <f t="shared" si="2"/>
        <v>119.82857142857145</v>
      </c>
      <c r="L15">
        <f t="shared" si="3"/>
        <v>19.301775147928996</v>
      </c>
    </row>
    <row r="16" spans="2:18" x14ac:dyDescent="0.2">
      <c r="B16">
        <v>11</v>
      </c>
      <c r="C16">
        <f>C15+$D$1</f>
        <v>148.85714285714286</v>
      </c>
      <c r="D16">
        <v>111</v>
      </c>
      <c r="E16">
        <f t="shared" si="0"/>
        <v>133.14285714285714</v>
      </c>
      <c r="F16">
        <f t="shared" si="1"/>
        <v>0</v>
      </c>
      <c r="H16">
        <v>82</v>
      </c>
      <c r="I16">
        <f t="shared" ref="I16" si="12">I14+$D$1*2</f>
        <v>148.85714285714286</v>
      </c>
      <c r="J16">
        <v>87</v>
      </c>
      <c r="K16">
        <f t="shared" si="2"/>
        <v>133.14285714285714</v>
      </c>
      <c r="L16">
        <f t="shared" si="3"/>
        <v>22.059171597633139</v>
      </c>
      <c r="N16">
        <v>143</v>
      </c>
      <c r="O16">
        <v>148.85714285714286</v>
      </c>
      <c r="P16">
        <v>117</v>
      </c>
      <c r="Q16">
        <f t="shared" ref="Q16:Q22" si="13">(O16-4)*$G$1</f>
        <v>133.14285714285714</v>
      </c>
      <c r="R16">
        <f t="shared" ref="R16:R22" si="14">-(P16-111)*$G$1</f>
        <v>-5.5147928994082847</v>
      </c>
    </row>
    <row r="17" spans="2:30" x14ac:dyDescent="0.2">
      <c r="B17">
        <v>12</v>
      </c>
      <c r="C17">
        <f>C16+$D$1</f>
        <v>163.34285714285716</v>
      </c>
      <c r="D17">
        <v>111</v>
      </c>
      <c r="E17">
        <f t="shared" si="0"/>
        <v>146.45714285714288</v>
      </c>
      <c r="F17">
        <f t="shared" si="1"/>
        <v>0</v>
      </c>
      <c r="H17">
        <v>83</v>
      </c>
      <c r="I17">
        <f t="shared" ref="I17" si="15">I16+$D$1</f>
        <v>163.34285714285716</v>
      </c>
      <c r="J17">
        <v>85</v>
      </c>
      <c r="K17">
        <f t="shared" si="2"/>
        <v>146.45714285714288</v>
      </c>
      <c r="L17">
        <f t="shared" si="3"/>
        <v>23.897435897435898</v>
      </c>
      <c r="N17">
        <v>144</v>
      </c>
      <c r="O17">
        <v>163.34285714285716</v>
      </c>
      <c r="P17">
        <v>125</v>
      </c>
      <c r="Q17">
        <f t="shared" si="13"/>
        <v>146.45714285714288</v>
      </c>
      <c r="R17">
        <f t="shared" si="14"/>
        <v>-12.86785009861933</v>
      </c>
    </row>
    <row r="18" spans="2:30" x14ac:dyDescent="0.2">
      <c r="B18">
        <v>13</v>
      </c>
      <c r="C18">
        <f t="shared" si="4"/>
        <v>177.82857142857145</v>
      </c>
      <c r="D18">
        <v>111</v>
      </c>
      <c r="E18">
        <f t="shared" si="0"/>
        <v>159.7714285714286</v>
      </c>
      <c r="F18">
        <f t="shared" si="1"/>
        <v>0</v>
      </c>
      <c r="H18">
        <v>84</v>
      </c>
      <c r="I18">
        <f t="shared" ref="I18" si="16">I16+$D$1*2</f>
        <v>177.82857142857142</v>
      </c>
      <c r="J18">
        <v>82</v>
      </c>
      <c r="K18">
        <f t="shared" si="2"/>
        <v>159.77142857142857</v>
      </c>
      <c r="L18">
        <f t="shared" si="3"/>
        <v>26.65483234714004</v>
      </c>
      <c r="N18">
        <v>145</v>
      </c>
      <c r="O18">
        <v>177.82857142857145</v>
      </c>
      <c r="P18">
        <v>133</v>
      </c>
      <c r="Q18">
        <f t="shared" si="13"/>
        <v>159.7714285714286</v>
      </c>
      <c r="R18">
        <f t="shared" si="14"/>
        <v>-20.220907297830376</v>
      </c>
    </row>
    <row r="19" spans="2:30" x14ac:dyDescent="0.2">
      <c r="B19">
        <v>14</v>
      </c>
      <c r="C19">
        <f>C18+$D$1</f>
        <v>192.31428571428575</v>
      </c>
      <c r="D19">
        <v>111</v>
      </c>
      <c r="E19">
        <f t="shared" si="0"/>
        <v>173.08571428571432</v>
      </c>
      <c r="F19">
        <f t="shared" si="1"/>
        <v>0</v>
      </c>
      <c r="H19">
        <v>85</v>
      </c>
      <c r="I19">
        <f t="shared" ref="I19" si="17">I18+$D$1</f>
        <v>192.31428571428572</v>
      </c>
      <c r="J19">
        <v>78</v>
      </c>
      <c r="K19">
        <f t="shared" si="2"/>
        <v>173.08571428571429</v>
      </c>
      <c r="L19">
        <f t="shared" si="3"/>
        <v>30.331360946745562</v>
      </c>
      <c r="N19">
        <v>146</v>
      </c>
      <c r="O19">
        <v>192.31428571428575</v>
      </c>
      <c r="P19">
        <v>143</v>
      </c>
      <c r="Q19">
        <f t="shared" si="13"/>
        <v>173.08571428571432</v>
      </c>
      <c r="R19">
        <f t="shared" si="14"/>
        <v>-29.412228796844182</v>
      </c>
    </row>
    <row r="20" spans="2:30" x14ac:dyDescent="0.2">
      <c r="B20" s="2">
        <v>15</v>
      </c>
      <c r="C20">
        <f>C19+$D$1</f>
        <v>206.80000000000004</v>
      </c>
      <c r="D20">
        <v>111</v>
      </c>
      <c r="E20">
        <f t="shared" si="0"/>
        <v>186.40000000000003</v>
      </c>
      <c r="F20">
        <f t="shared" si="1"/>
        <v>0</v>
      </c>
      <c r="H20">
        <v>86</v>
      </c>
      <c r="I20">
        <f t="shared" ref="I20" si="18">I18+$D$1*2</f>
        <v>206.79999999999998</v>
      </c>
      <c r="J20">
        <v>74</v>
      </c>
      <c r="K20">
        <f t="shared" si="2"/>
        <v>186.39999999999998</v>
      </c>
      <c r="L20">
        <f t="shared" si="3"/>
        <v>34.007889546351088</v>
      </c>
      <c r="N20">
        <v>147</v>
      </c>
      <c r="O20">
        <v>206.80000000000004</v>
      </c>
      <c r="P20">
        <v>154</v>
      </c>
      <c r="Q20">
        <f t="shared" si="13"/>
        <v>186.40000000000003</v>
      </c>
      <c r="R20">
        <f t="shared" si="14"/>
        <v>-39.522682445759372</v>
      </c>
      <c r="T20" s="2">
        <v>192</v>
      </c>
      <c r="U20">
        <v>206.80000000000004</v>
      </c>
      <c r="V20">
        <v>94</v>
      </c>
      <c r="W20">
        <f t="shared" ref="W20" si="19">(U20-4)*$G$1</f>
        <v>186.40000000000003</v>
      </c>
      <c r="X20">
        <f t="shared" ref="X20" si="20">-(V20-111)*$G$1</f>
        <v>15.625246548323473</v>
      </c>
      <c r="Z20">
        <v>194</v>
      </c>
      <c r="AA20">
        <v>206.80000000000004</v>
      </c>
      <c r="AB20">
        <v>127</v>
      </c>
      <c r="AC20">
        <f t="shared" ref="AC20" si="21">(AA20-4)*$G$1</f>
        <v>186.40000000000003</v>
      </c>
      <c r="AD20">
        <f t="shared" ref="AD20" si="22">-(AB20-111)*$G$1</f>
        <v>-14.706114398422091</v>
      </c>
    </row>
    <row r="21" spans="2:30" x14ac:dyDescent="0.2">
      <c r="B21" s="2">
        <v>16</v>
      </c>
      <c r="C21">
        <f t="shared" si="4"/>
        <v>221.28571428571433</v>
      </c>
      <c r="D21">
        <v>111</v>
      </c>
      <c r="E21">
        <f t="shared" si="0"/>
        <v>199.71428571428578</v>
      </c>
      <c r="F21">
        <f t="shared" si="1"/>
        <v>0</v>
      </c>
      <c r="H21">
        <v>87</v>
      </c>
      <c r="I21">
        <f t="shared" ref="I21" si="23">I20+$D$1</f>
        <v>221.28571428571428</v>
      </c>
      <c r="J21">
        <v>70</v>
      </c>
      <c r="K21">
        <f t="shared" si="2"/>
        <v>199.71428571428572</v>
      </c>
      <c r="L21">
        <f t="shared" si="3"/>
        <v>37.684418145956606</v>
      </c>
      <c r="N21">
        <v>148</v>
      </c>
      <c r="O21">
        <v>221.28571428571433</v>
      </c>
      <c r="P21">
        <v>139</v>
      </c>
      <c r="Q21">
        <f t="shared" si="13"/>
        <v>199.71428571428578</v>
      </c>
      <c r="R21">
        <f t="shared" si="14"/>
        <v>-25.735700197238661</v>
      </c>
    </row>
    <row r="22" spans="2:30" x14ac:dyDescent="0.2">
      <c r="B22" s="2">
        <v>17</v>
      </c>
      <c r="C22">
        <f t="shared" si="4"/>
        <v>235.77142857142863</v>
      </c>
      <c r="D22">
        <v>111</v>
      </c>
      <c r="E22">
        <f t="shared" si="0"/>
        <v>213.0285714285715</v>
      </c>
      <c r="F22">
        <f t="shared" si="1"/>
        <v>0</v>
      </c>
      <c r="H22">
        <v>88</v>
      </c>
      <c r="I22">
        <f t="shared" ref="I22" si="24">I20+$D$1*2</f>
        <v>235.77142857142854</v>
      </c>
      <c r="J22">
        <v>65</v>
      </c>
      <c r="K22">
        <f t="shared" si="2"/>
        <v>213.02857142857141</v>
      </c>
      <c r="L22">
        <f t="shared" si="3"/>
        <v>42.280078895463511</v>
      </c>
      <c r="N22">
        <v>149</v>
      </c>
      <c r="O22">
        <v>235.77142857142863</v>
      </c>
      <c r="P22">
        <v>124</v>
      </c>
      <c r="Q22">
        <f t="shared" si="13"/>
        <v>213.0285714285715</v>
      </c>
      <c r="R22">
        <f t="shared" si="14"/>
        <v>-11.948717948717949</v>
      </c>
    </row>
    <row r="23" spans="2:30" x14ac:dyDescent="0.2">
      <c r="B23" s="1">
        <v>18</v>
      </c>
      <c r="C23">
        <f t="shared" si="4"/>
        <v>250.25714285714292</v>
      </c>
      <c r="D23">
        <v>111</v>
      </c>
      <c r="E23">
        <f t="shared" si="0"/>
        <v>226.34285714285721</v>
      </c>
      <c r="F23">
        <f t="shared" si="1"/>
        <v>0</v>
      </c>
      <c r="H23">
        <v>89</v>
      </c>
      <c r="I23">
        <f t="shared" ref="I23" si="25">I22+$D$1</f>
        <v>250.25714285714284</v>
      </c>
      <c r="J23">
        <v>60</v>
      </c>
      <c r="K23">
        <f t="shared" si="2"/>
        <v>226.34285714285713</v>
      </c>
      <c r="L23">
        <f t="shared" si="3"/>
        <v>46.875739644970416</v>
      </c>
    </row>
    <row r="24" spans="2:30" x14ac:dyDescent="0.2">
      <c r="B24">
        <v>19</v>
      </c>
      <c r="C24">
        <f t="shared" si="4"/>
        <v>264.74285714285719</v>
      </c>
      <c r="D24">
        <v>111</v>
      </c>
      <c r="E24">
        <f t="shared" si="0"/>
        <v>239.6571428571429</v>
      </c>
      <c r="F24">
        <f t="shared" si="1"/>
        <v>0</v>
      </c>
      <c r="H24">
        <v>90</v>
      </c>
      <c r="I24">
        <f t="shared" ref="I24" si="26">I22+$D$1*2</f>
        <v>264.74285714285713</v>
      </c>
      <c r="J24">
        <v>54</v>
      </c>
      <c r="K24">
        <f t="shared" si="2"/>
        <v>239.65714285714284</v>
      </c>
      <c r="L24">
        <f t="shared" si="3"/>
        <v>52.390532544378701</v>
      </c>
      <c r="N24">
        <v>150</v>
      </c>
      <c r="O24">
        <v>264.74285714285719</v>
      </c>
      <c r="P24">
        <v>97</v>
      </c>
      <c r="Q24">
        <f t="shared" ref="Q24:Q30" si="27">(O24-4)*$G$1</f>
        <v>239.6571428571429</v>
      </c>
      <c r="R24">
        <f t="shared" ref="R24:R30" si="28">-(P24-111)*$G$1</f>
        <v>12.86785009861933</v>
      </c>
    </row>
    <row r="25" spans="2:30" x14ac:dyDescent="0.2">
      <c r="B25">
        <v>20</v>
      </c>
      <c r="C25">
        <f t="shared" si="4"/>
        <v>279.22857142857146</v>
      </c>
      <c r="D25">
        <v>111</v>
      </c>
      <c r="E25">
        <f t="shared" si="0"/>
        <v>252.97142857142862</v>
      </c>
      <c r="F25">
        <f t="shared" si="1"/>
        <v>0</v>
      </c>
      <c r="H25">
        <v>91</v>
      </c>
      <c r="I25">
        <f t="shared" ref="I25" si="29">I24+$D$1</f>
        <v>279.2285714285714</v>
      </c>
      <c r="J25">
        <v>49</v>
      </c>
      <c r="K25">
        <f t="shared" si="2"/>
        <v>252.97142857142856</v>
      </c>
      <c r="L25">
        <f t="shared" si="3"/>
        <v>56.986193293885606</v>
      </c>
      <c r="N25">
        <v>151</v>
      </c>
      <c r="O25">
        <v>279.22857142857146</v>
      </c>
      <c r="P25">
        <v>85</v>
      </c>
      <c r="Q25">
        <f t="shared" si="27"/>
        <v>252.97142857142862</v>
      </c>
      <c r="R25">
        <f t="shared" si="28"/>
        <v>23.897435897435898</v>
      </c>
    </row>
    <row r="26" spans="2:30" x14ac:dyDescent="0.2">
      <c r="B26">
        <v>21</v>
      </c>
      <c r="C26">
        <f t="shared" si="4"/>
        <v>293.71428571428572</v>
      </c>
      <c r="D26">
        <v>111</v>
      </c>
      <c r="E26">
        <f t="shared" si="0"/>
        <v>266.28571428571428</v>
      </c>
      <c r="F26">
        <f t="shared" si="1"/>
        <v>0</v>
      </c>
      <c r="H26">
        <v>92</v>
      </c>
      <c r="I26">
        <f t="shared" ref="I26" si="30">I24+$D$1*2</f>
        <v>293.71428571428572</v>
      </c>
      <c r="J26">
        <v>43</v>
      </c>
      <c r="K26">
        <f t="shared" si="2"/>
        <v>266.28571428571428</v>
      </c>
      <c r="L26">
        <f t="shared" si="3"/>
        <v>62.50098619329389</v>
      </c>
      <c r="N26">
        <v>152</v>
      </c>
      <c r="O26">
        <v>293.71428571428572</v>
      </c>
      <c r="P26">
        <v>75</v>
      </c>
      <c r="Q26">
        <f t="shared" si="27"/>
        <v>266.28571428571428</v>
      </c>
      <c r="R26">
        <f t="shared" si="28"/>
        <v>33.088757396449708</v>
      </c>
    </row>
    <row r="27" spans="2:30" x14ac:dyDescent="0.2">
      <c r="B27">
        <v>22</v>
      </c>
      <c r="C27">
        <f>C26+$D$1</f>
        <v>308.2</v>
      </c>
      <c r="D27">
        <v>111</v>
      </c>
      <c r="E27">
        <f t="shared" si="0"/>
        <v>279.60000000000002</v>
      </c>
      <c r="F27">
        <f t="shared" si="1"/>
        <v>0</v>
      </c>
      <c r="H27">
        <v>93</v>
      </c>
      <c r="I27">
        <f t="shared" ref="I27" si="31">I26+$D$1</f>
        <v>308.2</v>
      </c>
      <c r="J27">
        <v>38</v>
      </c>
      <c r="K27">
        <f t="shared" si="2"/>
        <v>279.60000000000002</v>
      </c>
      <c r="L27">
        <f t="shared" si="3"/>
        <v>67.096646942800788</v>
      </c>
      <c r="N27">
        <v>153</v>
      </c>
      <c r="O27">
        <v>308.2</v>
      </c>
      <c r="P27">
        <v>67</v>
      </c>
      <c r="Q27">
        <f t="shared" si="27"/>
        <v>279.60000000000002</v>
      </c>
      <c r="R27">
        <f t="shared" si="28"/>
        <v>40.441814595660752</v>
      </c>
    </row>
    <row r="28" spans="2:30" x14ac:dyDescent="0.2">
      <c r="B28">
        <v>23</v>
      </c>
      <c r="C28">
        <f>C27+$D$1</f>
        <v>322.68571428571425</v>
      </c>
      <c r="D28">
        <v>111</v>
      </c>
      <c r="E28">
        <f t="shared" si="0"/>
        <v>292.91428571428571</v>
      </c>
      <c r="F28">
        <f t="shared" si="1"/>
        <v>0</v>
      </c>
      <c r="H28">
        <v>94</v>
      </c>
      <c r="I28">
        <f t="shared" ref="I28" si="32">I26+$D$1*2</f>
        <v>322.68571428571431</v>
      </c>
      <c r="J28">
        <v>33</v>
      </c>
      <c r="K28">
        <f t="shared" si="2"/>
        <v>292.91428571428577</v>
      </c>
      <c r="L28">
        <f t="shared" si="3"/>
        <v>71.692307692307693</v>
      </c>
      <c r="N28">
        <v>154</v>
      </c>
      <c r="O28">
        <v>322.68571428571425</v>
      </c>
      <c r="P28">
        <v>59</v>
      </c>
      <c r="Q28">
        <f t="shared" si="27"/>
        <v>292.91428571428571</v>
      </c>
      <c r="R28">
        <f t="shared" si="28"/>
        <v>47.794871794871796</v>
      </c>
    </row>
    <row r="29" spans="2:30" x14ac:dyDescent="0.2">
      <c r="B29">
        <v>24</v>
      </c>
      <c r="C29">
        <f t="shared" si="4"/>
        <v>337.17142857142852</v>
      </c>
      <c r="D29">
        <v>111</v>
      </c>
      <c r="E29">
        <f t="shared" si="0"/>
        <v>306.2285714285714</v>
      </c>
      <c r="F29">
        <f t="shared" si="1"/>
        <v>0</v>
      </c>
      <c r="H29">
        <v>95</v>
      </c>
      <c r="I29">
        <f t="shared" ref="I29" si="33">I28+$D$1</f>
        <v>337.17142857142858</v>
      </c>
      <c r="J29">
        <v>28</v>
      </c>
      <c r="K29">
        <f t="shared" si="2"/>
        <v>306.22857142857146</v>
      </c>
      <c r="L29">
        <f t="shared" si="3"/>
        <v>76.287968441814598</v>
      </c>
      <c r="N29">
        <v>155</v>
      </c>
      <c r="O29">
        <v>337.17142857142852</v>
      </c>
      <c r="P29">
        <v>53</v>
      </c>
      <c r="Q29">
        <f t="shared" si="27"/>
        <v>306.2285714285714</v>
      </c>
      <c r="R29">
        <f t="shared" si="28"/>
        <v>53.30966469428008</v>
      </c>
    </row>
    <row r="30" spans="2:30" x14ac:dyDescent="0.2">
      <c r="B30">
        <v>25</v>
      </c>
      <c r="C30">
        <f t="shared" si="4"/>
        <v>351.65714285714279</v>
      </c>
      <c r="D30">
        <v>111</v>
      </c>
      <c r="E30">
        <f t="shared" si="0"/>
        <v>319.54285714285709</v>
      </c>
      <c r="F30">
        <f t="shared" si="1"/>
        <v>0</v>
      </c>
      <c r="H30">
        <v>96</v>
      </c>
      <c r="I30">
        <f t="shared" ref="I30" si="34">I28+$D$1*2</f>
        <v>351.6571428571429</v>
      </c>
      <c r="J30">
        <v>24</v>
      </c>
      <c r="K30">
        <f t="shared" si="2"/>
        <v>319.5428571428572</v>
      </c>
      <c r="L30">
        <f t="shared" si="3"/>
        <v>79.964497041420117</v>
      </c>
      <c r="N30">
        <v>156</v>
      </c>
      <c r="O30">
        <v>351.65714285714279</v>
      </c>
      <c r="P30">
        <v>47</v>
      </c>
      <c r="Q30">
        <f t="shared" si="27"/>
        <v>319.54285714285709</v>
      </c>
      <c r="R30">
        <f t="shared" si="28"/>
        <v>58.824457593688365</v>
      </c>
    </row>
    <row r="31" spans="2:30" x14ac:dyDescent="0.2">
      <c r="B31">
        <v>26</v>
      </c>
      <c r="C31">
        <f t="shared" si="4"/>
        <v>366.14285714285705</v>
      </c>
      <c r="D31">
        <v>111</v>
      </c>
      <c r="E31">
        <f t="shared" si="0"/>
        <v>332.85714285714278</v>
      </c>
      <c r="F31">
        <f t="shared" si="1"/>
        <v>0</v>
      </c>
      <c r="H31">
        <v>97</v>
      </c>
      <c r="I31">
        <f t="shared" ref="I31" si="35">I30+$D$1</f>
        <v>366.14285714285717</v>
      </c>
      <c r="J31">
        <v>20</v>
      </c>
      <c r="K31">
        <f t="shared" si="2"/>
        <v>332.85714285714289</v>
      </c>
      <c r="L31">
        <f t="shared" si="3"/>
        <v>83.641025641025649</v>
      </c>
      <c r="N31">
        <v>157</v>
      </c>
      <c r="O31">
        <v>366.14285714285705</v>
      </c>
      <c r="P31">
        <v>41</v>
      </c>
      <c r="Q31">
        <f t="shared" ref="Q31:Q58" si="36">(O31-4)*$G$1</f>
        <v>332.85714285714278</v>
      </c>
      <c r="R31">
        <f t="shared" ref="R31:R58" si="37">-(P31-111)*$G$1</f>
        <v>64.339250493096642</v>
      </c>
    </row>
    <row r="32" spans="2:30" x14ac:dyDescent="0.2">
      <c r="B32">
        <v>27</v>
      </c>
      <c r="C32">
        <f t="shared" si="4"/>
        <v>380.62857142857132</v>
      </c>
      <c r="D32">
        <v>111</v>
      </c>
      <c r="E32">
        <f t="shared" si="0"/>
        <v>346.17142857142846</v>
      </c>
      <c r="F32">
        <f t="shared" si="1"/>
        <v>0</v>
      </c>
      <c r="H32">
        <v>98</v>
      </c>
      <c r="I32">
        <f t="shared" ref="I32" si="38">I30+$D$1*2</f>
        <v>380.62857142857149</v>
      </c>
      <c r="J32">
        <v>17</v>
      </c>
      <c r="K32">
        <f t="shared" si="2"/>
        <v>346.17142857142863</v>
      </c>
      <c r="L32">
        <f t="shared" si="3"/>
        <v>86.398422090729781</v>
      </c>
      <c r="N32">
        <v>158</v>
      </c>
      <c r="O32">
        <v>380.62857142857132</v>
      </c>
      <c r="P32">
        <v>36</v>
      </c>
      <c r="Q32">
        <f t="shared" si="36"/>
        <v>346.17142857142846</v>
      </c>
      <c r="R32">
        <f t="shared" si="37"/>
        <v>68.934911242603548</v>
      </c>
    </row>
    <row r="33" spans="2:18" x14ac:dyDescent="0.2">
      <c r="B33">
        <v>28</v>
      </c>
      <c r="C33">
        <f t="shared" si="4"/>
        <v>395.11428571428559</v>
      </c>
      <c r="D33">
        <v>111</v>
      </c>
      <c r="E33">
        <f t="shared" si="0"/>
        <v>359.48571428571415</v>
      </c>
      <c r="F33">
        <f t="shared" si="1"/>
        <v>0</v>
      </c>
      <c r="H33">
        <v>99</v>
      </c>
      <c r="I33">
        <f t="shared" ref="I33" si="39">I32+$D$1</f>
        <v>395.11428571428576</v>
      </c>
      <c r="J33">
        <v>14</v>
      </c>
      <c r="K33">
        <f t="shared" si="2"/>
        <v>359.48571428571432</v>
      </c>
      <c r="L33">
        <f t="shared" si="3"/>
        <v>89.155818540433927</v>
      </c>
      <c r="N33">
        <v>159</v>
      </c>
      <c r="O33">
        <v>395.11428571428559</v>
      </c>
      <c r="P33">
        <v>31</v>
      </c>
      <c r="Q33">
        <f t="shared" si="36"/>
        <v>359.48571428571415</v>
      </c>
      <c r="R33">
        <f t="shared" si="37"/>
        <v>73.530571992110453</v>
      </c>
    </row>
    <row r="34" spans="2:18" x14ac:dyDescent="0.2">
      <c r="B34">
        <v>29</v>
      </c>
      <c r="C34">
        <f t="shared" si="4"/>
        <v>409.59999999999985</v>
      </c>
      <c r="D34">
        <v>111</v>
      </c>
      <c r="E34">
        <f t="shared" si="0"/>
        <v>372.7999999999999</v>
      </c>
      <c r="F34">
        <f t="shared" si="1"/>
        <v>0</v>
      </c>
      <c r="H34">
        <v>100</v>
      </c>
      <c r="I34">
        <f t="shared" ref="I34" si="40">I32+$D$1*2</f>
        <v>409.60000000000008</v>
      </c>
      <c r="J34">
        <v>11</v>
      </c>
      <c r="K34">
        <f t="shared" si="2"/>
        <v>372.80000000000007</v>
      </c>
      <c r="L34">
        <f t="shared" si="3"/>
        <v>91.913214990138073</v>
      </c>
      <c r="N34">
        <v>160</v>
      </c>
      <c r="O34">
        <v>409.59999999999985</v>
      </c>
      <c r="P34">
        <v>28</v>
      </c>
      <c r="Q34">
        <f t="shared" si="36"/>
        <v>372.7999999999999</v>
      </c>
      <c r="R34">
        <f t="shared" si="37"/>
        <v>76.287968441814598</v>
      </c>
    </row>
    <row r="35" spans="2:18" x14ac:dyDescent="0.2">
      <c r="B35">
        <v>30</v>
      </c>
      <c r="C35">
        <f t="shared" si="4"/>
        <v>424.08571428571412</v>
      </c>
      <c r="D35">
        <v>111</v>
      </c>
      <c r="E35">
        <f t="shared" si="0"/>
        <v>386.11428571428559</v>
      </c>
      <c r="F35">
        <f t="shared" si="1"/>
        <v>0</v>
      </c>
      <c r="H35">
        <v>101</v>
      </c>
      <c r="I35">
        <f t="shared" ref="I35" si="41">I34+$D$1</f>
        <v>424.08571428571435</v>
      </c>
      <c r="J35">
        <v>9</v>
      </c>
      <c r="K35">
        <f t="shared" si="2"/>
        <v>386.11428571428576</v>
      </c>
      <c r="L35">
        <f t="shared" si="3"/>
        <v>93.751479289940832</v>
      </c>
      <c r="N35">
        <v>161</v>
      </c>
      <c r="O35">
        <v>424.08571428571412</v>
      </c>
      <c r="P35">
        <v>24</v>
      </c>
      <c r="Q35">
        <f t="shared" si="36"/>
        <v>386.11428571428559</v>
      </c>
      <c r="R35">
        <f t="shared" si="37"/>
        <v>79.964497041420117</v>
      </c>
    </row>
    <row r="36" spans="2:18" x14ac:dyDescent="0.2">
      <c r="B36">
        <v>31</v>
      </c>
      <c r="C36">
        <f>C35+$D$1</f>
        <v>438.57142857142838</v>
      </c>
      <c r="D36">
        <v>111</v>
      </c>
      <c r="E36">
        <f t="shared" si="0"/>
        <v>399.42857142857127</v>
      </c>
      <c r="F36">
        <f t="shared" si="1"/>
        <v>0</v>
      </c>
      <c r="H36">
        <v>102</v>
      </c>
      <c r="I36">
        <f t="shared" ref="I36" si="42">I34+$D$1*2</f>
        <v>438.57142857142867</v>
      </c>
      <c r="J36">
        <v>7</v>
      </c>
      <c r="K36">
        <f t="shared" si="2"/>
        <v>399.42857142857156</v>
      </c>
      <c r="L36">
        <f t="shared" si="3"/>
        <v>95.589743589743591</v>
      </c>
      <c r="N36">
        <v>162</v>
      </c>
      <c r="O36">
        <v>438.57142857142838</v>
      </c>
      <c r="P36">
        <v>22</v>
      </c>
      <c r="Q36">
        <f t="shared" si="36"/>
        <v>399.42857142857127</v>
      </c>
      <c r="R36">
        <f t="shared" si="37"/>
        <v>81.802761341222876</v>
      </c>
    </row>
    <row r="37" spans="2:18" x14ac:dyDescent="0.2">
      <c r="B37">
        <v>32</v>
      </c>
      <c r="C37">
        <f>C36+$D$1</f>
        <v>453.05714285714265</v>
      </c>
      <c r="D37">
        <v>111</v>
      </c>
      <c r="E37">
        <f t="shared" si="0"/>
        <v>412.74285714285696</v>
      </c>
      <c r="F37">
        <f t="shared" si="1"/>
        <v>0</v>
      </c>
      <c r="H37">
        <v>103</v>
      </c>
      <c r="I37">
        <f t="shared" ref="I37" si="43">I36+$D$1</f>
        <v>453.05714285714294</v>
      </c>
      <c r="J37">
        <v>5</v>
      </c>
      <c r="K37">
        <f t="shared" si="2"/>
        <v>412.74285714285725</v>
      </c>
      <c r="L37">
        <f t="shared" si="3"/>
        <v>97.42800788954635</v>
      </c>
      <c r="N37">
        <v>163</v>
      </c>
      <c r="O37">
        <v>453.05714285714265</v>
      </c>
      <c r="P37">
        <v>19</v>
      </c>
      <c r="Q37">
        <f t="shared" si="36"/>
        <v>412.74285714285696</v>
      </c>
      <c r="R37">
        <f t="shared" si="37"/>
        <v>84.560157790927022</v>
      </c>
    </row>
    <row r="38" spans="2:18" x14ac:dyDescent="0.2">
      <c r="B38">
        <v>33</v>
      </c>
      <c r="C38">
        <f t="shared" si="4"/>
        <v>467.54285714285692</v>
      </c>
      <c r="D38">
        <v>111</v>
      </c>
      <c r="E38">
        <f t="shared" si="0"/>
        <v>426.05714285714265</v>
      </c>
      <c r="F38">
        <f t="shared" si="1"/>
        <v>0</v>
      </c>
      <c r="H38">
        <v>104</v>
      </c>
      <c r="I38">
        <f t="shared" ref="I38" si="44">I36+$D$1*2</f>
        <v>467.54285714285726</v>
      </c>
      <c r="J38">
        <v>4</v>
      </c>
      <c r="K38">
        <f t="shared" si="2"/>
        <v>426.05714285714299</v>
      </c>
      <c r="L38">
        <f t="shared" si="3"/>
        <v>98.347140039447737</v>
      </c>
      <c r="N38">
        <v>164</v>
      </c>
      <c r="O38">
        <v>467.54285714285692</v>
      </c>
      <c r="P38">
        <v>17</v>
      </c>
      <c r="Q38">
        <f t="shared" si="36"/>
        <v>426.05714285714265</v>
      </c>
      <c r="R38">
        <f t="shared" si="37"/>
        <v>86.398422090729781</v>
      </c>
    </row>
    <row r="39" spans="2:18" x14ac:dyDescent="0.2">
      <c r="B39">
        <v>34</v>
      </c>
      <c r="C39">
        <f>C38+$D$1</f>
        <v>482.02857142857118</v>
      </c>
      <c r="D39">
        <v>111</v>
      </c>
      <c r="E39">
        <f t="shared" si="0"/>
        <v>439.37142857142834</v>
      </c>
      <c r="F39">
        <f t="shared" si="1"/>
        <v>0</v>
      </c>
      <c r="H39">
        <v>105</v>
      </c>
      <c r="I39">
        <f t="shared" ref="I39" si="45">I38+$D$1</f>
        <v>482.02857142857152</v>
      </c>
      <c r="J39">
        <v>3</v>
      </c>
      <c r="K39">
        <f t="shared" si="2"/>
        <v>439.37142857142868</v>
      </c>
      <c r="L39">
        <f t="shared" si="3"/>
        <v>99.26627218934911</v>
      </c>
      <c r="N39">
        <v>165</v>
      </c>
      <c r="O39">
        <v>482.02857142857118</v>
      </c>
      <c r="P39">
        <v>16</v>
      </c>
      <c r="Q39">
        <f t="shared" si="36"/>
        <v>439.37142857142834</v>
      </c>
      <c r="R39">
        <f t="shared" si="37"/>
        <v>87.317554240631168</v>
      </c>
    </row>
    <row r="40" spans="2:18" x14ac:dyDescent="0.2">
      <c r="B40">
        <v>35</v>
      </c>
      <c r="C40">
        <f>C39+$D$1</f>
        <v>496.51428571428545</v>
      </c>
      <c r="D40">
        <v>111</v>
      </c>
      <c r="E40">
        <f t="shared" si="0"/>
        <v>452.68571428571408</v>
      </c>
      <c r="F40">
        <f t="shared" si="1"/>
        <v>0</v>
      </c>
      <c r="H40">
        <v>106</v>
      </c>
      <c r="I40">
        <f t="shared" ref="I40" si="46">I38+$D$1*2</f>
        <v>496.51428571428585</v>
      </c>
      <c r="J40">
        <v>2</v>
      </c>
      <c r="K40">
        <f t="shared" si="2"/>
        <v>452.68571428571443</v>
      </c>
      <c r="L40">
        <f t="shared" si="3"/>
        <v>100.1854043392505</v>
      </c>
      <c r="N40">
        <v>166</v>
      </c>
      <c r="O40">
        <v>496.51428571428545</v>
      </c>
      <c r="P40">
        <v>15</v>
      </c>
      <c r="Q40">
        <f t="shared" si="36"/>
        <v>452.68571428571408</v>
      </c>
      <c r="R40">
        <f t="shared" si="37"/>
        <v>88.236686390532554</v>
      </c>
    </row>
    <row r="41" spans="2:18" x14ac:dyDescent="0.2">
      <c r="B41" s="1">
        <v>36</v>
      </c>
      <c r="C41">
        <f t="shared" si="4"/>
        <v>510.99999999999972</v>
      </c>
      <c r="D41">
        <v>111</v>
      </c>
      <c r="E41">
        <f t="shared" si="0"/>
        <v>465.99999999999977</v>
      </c>
      <c r="F41">
        <f t="shared" si="1"/>
        <v>0</v>
      </c>
      <c r="H41" s="1">
        <v>107</v>
      </c>
      <c r="I41">
        <f t="shared" ref="I41" si="47">I40+$D$1</f>
        <v>511.00000000000011</v>
      </c>
      <c r="J41">
        <v>2</v>
      </c>
      <c r="K41">
        <f t="shared" si="2"/>
        <v>466.00000000000011</v>
      </c>
      <c r="L41">
        <f t="shared" si="3"/>
        <v>100.1854043392505</v>
      </c>
      <c r="N41" s="1">
        <v>167</v>
      </c>
      <c r="O41">
        <v>510.99999999999972</v>
      </c>
      <c r="P41">
        <v>15</v>
      </c>
      <c r="Q41">
        <f t="shared" si="36"/>
        <v>465.99999999999977</v>
      </c>
      <c r="R41">
        <f t="shared" si="37"/>
        <v>88.236686390532554</v>
      </c>
    </row>
    <row r="42" spans="2:18" x14ac:dyDescent="0.2">
      <c r="B42">
        <v>37</v>
      </c>
      <c r="C42">
        <f t="shared" si="4"/>
        <v>525.48571428571404</v>
      </c>
      <c r="D42">
        <v>111</v>
      </c>
      <c r="E42">
        <f t="shared" si="0"/>
        <v>479.31428571428552</v>
      </c>
      <c r="F42">
        <f t="shared" si="1"/>
        <v>0</v>
      </c>
      <c r="H42">
        <v>108</v>
      </c>
      <c r="I42">
        <f t="shared" ref="I42" si="48">I40+$D$1*2</f>
        <v>525.48571428571438</v>
      </c>
      <c r="J42">
        <v>2</v>
      </c>
      <c r="K42">
        <f t="shared" si="2"/>
        <v>479.3142857142858</v>
      </c>
      <c r="L42">
        <f t="shared" si="3"/>
        <v>100.1854043392505</v>
      </c>
      <c r="N42">
        <v>168</v>
      </c>
      <c r="O42">
        <v>525.48571428571404</v>
      </c>
      <c r="P42">
        <v>15</v>
      </c>
      <c r="Q42">
        <f t="shared" si="36"/>
        <v>479.31428571428552</v>
      </c>
      <c r="R42">
        <f t="shared" si="37"/>
        <v>88.236686390532554</v>
      </c>
    </row>
    <row r="43" spans="2:18" x14ac:dyDescent="0.2">
      <c r="B43">
        <v>38</v>
      </c>
      <c r="C43">
        <f t="shared" si="4"/>
        <v>539.97142857142831</v>
      </c>
      <c r="D43">
        <v>111</v>
      </c>
      <c r="E43">
        <f t="shared" si="0"/>
        <v>492.62857142857121</v>
      </c>
      <c r="F43">
        <f t="shared" si="1"/>
        <v>0</v>
      </c>
      <c r="H43">
        <v>109</v>
      </c>
      <c r="I43">
        <f t="shared" ref="I43" si="49">I42+$D$1</f>
        <v>539.97142857142865</v>
      </c>
      <c r="J43">
        <v>3</v>
      </c>
      <c r="K43">
        <f t="shared" si="2"/>
        <v>492.62857142857149</v>
      </c>
      <c r="L43">
        <f t="shared" si="3"/>
        <v>99.26627218934911</v>
      </c>
      <c r="N43">
        <v>169</v>
      </c>
      <c r="O43">
        <v>539.97142857142831</v>
      </c>
      <c r="P43">
        <v>16</v>
      </c>
      <c r="Q43">
        <f t="shared" si="36"/>
        <v>492.62857142857121</v>
      </c>
      <c r="R43">
        <f t="shared" si="37"/>
        <v>87.317554240631168</v>
      </c>
    </row>
    <row r="44" spans="2:18" x14ac:dyDescent="0.2">
      <c r="B44">
        <v>39</v>
      </c>
      <c r="C44">
        <f t="shared" si="4"/>
        <v>554.45714285714257</v>
      </c>
      <c r="D44">
        <v>111</v>
      </c>
      <c r="E44">
        <f t="shared" si="0"/>
        <v>505.94285714285689</v>
      </c>
      <c r="F44">
        <f t="shared" si="1"/>
        <v>0</v>
      </c>
      <c r="H44">
        <v>110</v>
      </c>
      <c r="I44">
        <f t="shared" ref="I44" si="50">I42+$D$1*2</f>
        <v>554.45714285714291</v>
      </c>
      <c r="J44">
        <v>4</v>
      </c>
      <c r="K44">
        <f t="shared" si="2"/>
        <v>505.94285714285724</v>
      </c>
      <c r="L44">
        <f t="shared" si="3"/>
        <v>98.347140039447737</v>
      </c>
      <c r="N44">
        <v>170</v>
      </c>
      <c r="O44">
        <v>554.45714285714257</v>
      </c>
      <c r="P44">
        <v>17</v>
      </c>
      <c r="Q44">
        <f t="shared" si="36"/>
        <v>505.94285714285689</v>
      </c>
      <c r="R44">
        <f t="shared" si="37"/>
        <v>86.398422090729781</v>
      </c>
    </row>
    <row r="45" spans="2:18" x14ac:dyDescent="0.2">
      <c r="B45">
        <v>40</v>
      </c>
      <c r="C45">
        <f t="shared" si="4"/>
        <v>568.94285714285684</v>
      </c>
      <c r="D45">
        <v>111</v>
      </c>
      <c r="E45">
        <f t="shared" si="0"/>
        <v>519.25714285714264</v>
      </c>
      <c r="F45">
        <f t="shared" si="1"/>
        <v>0</v>
      </c>
      <c r="H45">
        <v>111</v>
      </c>
      <c r="I45">
        <f t="shared" ref="I45" si="51">I44+$D$1</f>
        <v>568.94285714285718</v>
      </c>
      <c r="J45">
        <v>5</v>
      </c>
      <c r="K45">
        <f t="shared" si="2"/>
        <v>519.25714285714287</v>
      </c>
      <c r="L45">
        <f t="shared" si="3"/>
        <v>97.42800788954635</v>
      </c>
      <c r="N45">
        <v>171</v>
      </c>
      <c r="O45">
        <v>568.94285714285684</v>
      </c>
      <c r="P45">
        <v>19</v>
      </c>
      <c r="Q45">
        <f t="shared" si="36"/>
        <v>519.25714285714264</v>
      </c>
      <c r="R45">
        <f t="shared" si="37"/>
        <v>84.560157790927022</v>
      </c>
    </row>
    <row r="46" spans="2:18" x14ac:dyDescent="0.2">
      <c r="B46">
        <v>41</v>
      </c>
      <c r="C46">
        <f t="shared" si="4"/>
        <v>583.4285714285711</v>
      </c>
      <c r="D46">
        <v>111</v>
      </c>
      <c r="E46">
        <f t="shared" si="0"/>
        <v>532.57142857142833</v>
      </c>
      <c r="F46">
        <f t="shared" si="1"/>
        <v>0</v>
      </c>
      <c r="H46">
        <v>112</v>
      </c>
      <c r="I46">
        <f t="shared" ref="I46" si="52">I44+$D$1*2</f>
        <v>583.42857142857144</v>
      </c>
      <c r="J46">
        <v>7</v>
      </c>
      <c r="K46">
        <f t="shared" si="2"/>
        <v>532.57142857142856</v>
      </c>
      <c r="L46">
        <f t="shared" si="3"/>
        <v>95.589743589743591</v>
      </c>
      <c r="N46">
        <v>172</v>
      </c>
      <c r="O46">
        <v>583.4285714285711</v>
      </c>
      <c r="P46">
        <v>22</v>
      </c>
      <c r="Q46">
        <f t="shared" si="36"/>
        <v>532.57142857142833</v>
      </c>
      <c r="R46">
        <f t="shared" si="37"/>
        <v>81.802761341222876</v>
      </c>
    </row>
    <row r="47" spans="2:18" x14ac:dyDescent="0.2">
      <c r="B47">
        <v>42</v>
      </c>
      <c r="C47">
        <f t="shared" si="4"/>
        <v>597.91428571428537</v>
      </c>
      <c r="D47">
        <v>111</v>
      </c>
      <c r="E47">
        <f t="shared" si="0"/>
        <v>545.88571428571402</v>
      </c>
      <c r="F47">
        <f t="shared" si="1"/>
        <v>0</v>
      </c>
      <c r="H47">
        <v>113</v>
      </c>
      <c r="I47">
        <f t="shared" ref="I47" si="53">I46+$D$1</f>
        <v>597.91428571428571</v>
      </c>
      <c r="J47">
        <v>9</v>
      </c>
      <c r="K47">
        <f t="shared" si="2"/>
        <v>545.88571428571436</v>
      </c>
      <c r="L47">
        <f t="shared" si="3"/>
        <v>93.751479289940832</v>
      </c>
      <c r="N47">
        <v>173</v>
      </c>
      <c r="O47">
        <v>597.91428571428537</v>
      </c>
      <c r="P47">
        <v>24</v>
      </c>
      <c r="Q47">
        <f t="shared" si="36"/>
        <v>545.88571428571402</v>
      </c>
      <c r="R47">
        <f t="shared" si="37"/>
        <v>79.964497041420117</v>
      </c>
    </row>
    <row r="48" spans="2:18" x14ac:dyDescent="0.2">
      <c r="B48">
        <v>43</v>
      </c>
      <c r="C48">
        <f>C47+$D$1</f>
        <v>612.39999999999964</v>
      </c>
      <c r="D48">
        <v>111</v>
      </c>
      <c r="E48">
        <f t="shared" si="0"/>
        <v>559.1999999999997</v>
      </c>
      <c r="F48">
        <f t="shared" si="1"/>
        <v>0</v>
      </c>
      <c r="H48">
        <v>114</v>
      </c>
      <c r="I48">
        <f t="shared" ref="I48" si="54">I46+$D$1*2</f>
        <v>612.4</v>
      </c>
      <c r="J48">
        <v>11</v>
      </c>
      <c r="K48">
        <f t="shared" si="2"/>
        <v>559.20000000000005</v>
      </c>
      <c r="L48">
        <f t="shared" si="3"/>
        <v>91.913214990138073</v>
      </c>
      <c r="N48">
        <v>174</v>
      </c>
      <c r="O48">
        <v>612.39999999999964</v>
      </c>
      <c r="P48">
        <v>28</v>
      </c>
      <c r="Q48">
        <f t="shared" si="36"/>
        <v>559.1999999999997</v>
      </c>
      <c r="R48">
        <f t="shared" si="37"/>
        <v>76.287968441814598</v>
      </c>
    </row>
    <row r="49" spans="2:30" x14ac:dyDescent="0.2">
      <c r="B49">
        <v>44</v>
      </c>
      <c r="C49">
        <f>C48+$D$1</f>
        <v>626.8857142857139</v>
      </c>
      <c r="D49">
        <v>111</v>
      </c>
      <c r="E49">
        <f t="shared" si="0"/>
        <v>572.51428571428539</v>
      </c>
      <c r="F49">
        <f t="shared" si="1"/>
        <v>0</v>
      </c>
      <c r="H49">
        <v>115</v>
      </c>
      <c r="I49">
        <f t="shared" ref="I49" si="55">I48+$D$1</f>
        <v>626.88571428571424</v>
      </c>
      <c r="J49">
        <v>14</v>
      </c>
      <c r="K49">
        <f t="shared" si="2"/>
        <v>572.51428571428573</v>
      </c>
      <c r="L49">
        <f t="shared" si="3"/>
        <v>89.155818540433927</v>
      </c>
      <c r="N49">
        <v>175</v>
      </c>
      <c r="O49">
        <v>626.8857142857139</v>
      </c>
      <c r="P49">
        <v>31</v>
      </c>
      <c r="Q49">
        <f t="shared" si="36"/>
        <v>572.51428571428539</v>
      </c>
      <c r="R49">
        <f t="shared" si="37"/>
        <v>73.530571992110453</v>
      </c>
    </row>
    <row r="50" spans="2:30" x14ac:dyDescent="0.2">
      <c r="B50">
        <v>45</v>
      </c>
      <c r="C50">
        <f>C49+$D$1</f>
        <v>641.37142857142817</v>
      </c>
      <c r="D50">
        <v>111</v>
      </c>
      <c r="E50">
        <f t="shared" si="0"/>
        <v>585.82857142857108</v>
      </c>
      <c r="F50">
        <f t="shared" si="1"/>
        <v>0</v>
      </c>
      <c r="H50">
        <v>116</v>
      </c>
      <c r="I50">
        <f t="shared" ref="I50" si="56">I48+$D$1*2</f>
        <v>641.37142857142851</v>
      </c>
      <c r="J50">
        <v>17</v>
      </c>
      <c r="K50">
        <f t="shared" si="2"/>
        <v>585.82857142857142</v>
      </c>
      <c r="L50">
        <f t="shared" si="3"/>
        <v>86.398422090729781</v>
      </c>
      <c r="N50">
        <v>176</v>
      </c>
      <c r="O50">
        <v>641.37142857142817</v>
      </c>
      <c r="P50">
        <v>36</v>
      </c>
      <c r="Q50">
        <f t="shared" si="36"/>
        <v>585.82857142857108</v>
      </c>
      <c r="R50">
        <f t="shared" si="37"/>
        <v>68.934911242603548</v>
      </c>
    </row>
    <row r="51" spans="2:30" x14ac:dyDescent="0.2">
      <c r="B51">
        <v>46</v>
      </c>
      <c r="C51">
        <f t="shared" si="4"/>
        <v>655.85714285714243</v>
      </c>
      <c r="D51">
        <v>111</v>
      </c>
      <c r="E51">
        <f t="shared" si="0"/>
        <v>599.14285714285677</v>
      </c>
      <c r="F51">
        <f t="shared" si="1"/>
        <v>0</v>
      </c>
      <c r="H51">
        <v>117</v>
      </c>
      <c r="I51">
        <f t="shared" ref="I51" si="57">I50+$D$1</f>
        <v>655.85714285714278</v>
      </c>
      <c r="J51">
        <v>20</v>
      </c>
      <c r="K51">
        <f t="shared" si="2"/>
        <v>599.14285714285711</v>
      </c>
      <c r="L51">
        <f t="shared" si="3"/>
        <v>83.641025641025649</v>
      </c>
      <c r="N51">
        <v>177</v>
      </c>
      <c r="O51">
        <v>655.85714285714243</v>
      </c>
      <c r="P51">
        <v>41</v>
      </c>
      <c r="Q51">
        <f t="shared" si="36"/>
        <v>599.14285714285677</v>
      </c>
      <c r="R51">
        <f t="shared" si="37"/>
        <v>64.339250493096642</v>
      </c>
    </row>
    <row r="52" spans="2:30" x14ac:dyDescent="0.2">
      <c r="B52">
        <v>47</v>
      </c>
      <c r="C52">
        <f t="shared" si="4"/>
        <v>670.3428571428567</v>
      </c>
      <c r="D52">
        <v>111</v>
      </c>
      <c r="E52">
        <f t="shared" si="0"/>
        <v>612.45714285714246</v>
      </c>
      <c r="F52">
        <f t="shared" si="1"/>
        <v>0</v>
      </c>
      <c r="H52">
        <v>118</v>
      </c>
      <c r="I52">
        <f t="shared" ref="I52" si="58">I50+$D$1*2</f>
        <v>670.34285714285704</v>
      </c>
      <c r="J52">
        <v>24</v>
      </c>
      <c r="K52">
        <f t="shared" si="2"/>
        <v>612.4571428571428</v>
      </c>
      <c r="L52">
        <f t="shared" si="3"/>
        <v>79.964497041420117</v>
      </c>
      <c r="N52">
        <v>178</v>
      </c>
      <c r="O52">
        <v>670.3428571428567</v>
      </c>
      <c r="P52">
        <v>47</v>
      </c>
      <c r="Q52">
        <f t="shared" si="36"/>
        <v>612.45714285714246</v>
      </c>
      <c r="R52">
        <f t="shared" si="37"/>
        <v>58.824457593688365</v>
      </c>
    </row>
    <row r="53" spans="2:30" x14ac:dyDescent="0.2">
      <c r="B53">
        <v>48</v>
      </c>
      <c r="C53">
        <f t="shared" si="4"/>
        <v>684.82857142857097</v>
      </c>
      <c r="D53">
        <v>111</v>
      </c>
      <c r="E53">
        <f t="shared" si="0"/>
        <v>625.77142857142815</v>
      </c>
      <c r="F53">
        <f t="shared" si="1"/>
        <v>0</v>
      </c>
      <c r="H53">
        <v>119</v>
      </c>
      <c r="I53">
        <f t="shared" ref="I53" si="59">I52+$D$1</f>
        <v>684.82857142857131</v>
      </c>
      <c r="J53">
        <v>28</v>
      </c>
      <c r="K53">
        <f t="shared" si="2"/>
        <v>625.77142857142849</v>
      </c>
      <c r="L53">
        <f t="shared" si="3"/>
        <v>76.287968441814598</v>
      </c>
      <c r="N53">
        <v>179</v>
      </c>
      <c r="O53">
        <v>684.82857142857097</v>
      </c>
      <c r="P53">
        <v>53</v>
      </c>
      <c r="Q53">
        <f t="shared" si="36"/>
        <v>625.77142857142815</v>
      </c>
      <c r="R53">
        <f t="shared" si="37"/>
        <v>53.30966469428008</v>
      </c>
    </row>
    <row r="54" spans="2:30" x14ac:dyDescent="0.2">
      <c r="B54" s="2">
        <v>49</v>
      </c>
      <c r="C54">
        <f t="shared" si="4"/>
        <v>699.31428571428523</v>
      </c>
      <c r="D54">
        <v>111</v>
      </c>
      <c r="E54">
        <f t="shared" si="0"/>
        <v>639.08571428571383</v>
      </c>
      <c r="F54">
        <f t="shared" si="1"/>
        <v>0</v>
      </c>
      <c r="H54">
        <v>120</v>
      </c>
      <c r="I54">
        <f t="shared" ref="I54" si="60">I52+$D$1*2</f>
        <v>699.31428571428557</v>
      </c>
      <c r="J54">
        <v>33</v>
      </c>
      <c r="K54">
        <f t="shared" si="2"/>
        <v>639.08571428571418</v>
      </c>
      <c r="L54">
        <f t="shared" si="3"/>
        <v>71.692307692307693</v>
      </c>
      <c r="N54">
        <v>180</v>
      </c>
      <c r="O54">
        <v>699.31428571428523</v>
      </c>
      <c r="P54">
        <v>59</v>
      </c>
      <c r="Q54">
        <f t="shared" si="36"/>
        <v>639.08571428571383</v>
      </c>
      <c r="R54">
        <f t="shared" si="37"/>
        <v>47.794871794871796</v>
      </c>
    </row>
    <row r="55" spans="2:30" x14ac:dyDescent="0.2">
      <c r="B55" s="2">
        <v>50</v>
      </c>
      <c r="C55">
        <f t="shared" si="4"/>
        <v>713.7999999999995</v>
      </c>
      <c r="D55">
        <v>111</v>
      </c>
      <c r="E55">
        <f t="shared" si="0"/>
        <v>652.39999999999952</v>
      </c>
      <c r="F55">
        <f t="shared" si="1"/>
        <v>0</v>
      </c>
      <c r="H55">
        <v>121</v>
      </c>
      <c r="I55">
        <f t="shared" ref="I55" si="61">I54+$D$1</f>
        <v>713.79999999999984</v>
      </c>
      <c r="J55">
        <v>38</v>
      </c>
      <c r="K55">
        <f t="shared" si="2"/>
        <v>652.39999999999986</v>
      </c>
      <c r="L55">
        <f t="shared" si="3"/>
        <v>67.096646942800788</v>
      </c>
      <c r="N55">
        <v>181</v>
      </c>
      <c r="O55">
        <v>713.7999999999995</v>
      </c>
      <c r="P55">
        <v>67</v>
      </c>
      <c r="Q55">
        <f t="shared" si="36"/>
        <v>652.39999999999952</v>
      </c>
      <c r="R55">
        <f t="shared" si="37"/>
        <v>40.441814595660752</v>
      </c>
    </row>
    <row r="56" spans="2:30" x14ac:dyDescent="0.2">
      <c r="B56" s="2">
        <v>51</v>
      </c>
      <c r="C56">
        <f t="shared" si="4"/>
        <v>728.28571428571377</v>
      </c>
      <c r="D56">
        <v>111</v>
      </c>
      <c r="E56">
        <f t="shared" si="0"/>
        <v>665.71428571428521</v>
      </c>
      <c r="F56">
        <f t="shared" si="1"/>
        <v>0</v>
      </c>
      <c r="H56">
        <v>122</v>
      </c>
      <c r="I56">
        <f t="shared" ref="I56" si="62">I54+$D$1*2</f>
        <v>728.28571428571411</v>
      </c>
      <c r="J56">
        <v>43</v>
      </c>
      <c r="K56">
        <f t="shared" si="2"/>
        <v>665.71428571428555</v>
      </c>
      <c r="L56">
        <f t="shared" si="3"/>
        <v>62.50098619329389</v>
      </c>
      <c r="N56">
        <v>182</v>
      </c>
      <c r="O56">
        <v>728.28571428571377</v>
      </c>
      <c r="P56">
        <v>75</v>
      </c>
      <c r="Q56">
        <f t="shared" si="36"/>
        <v>665.71428571428521</v>
      </c>
      <c r="R56">
        <f t="shared" si="37"/>
        <v>33.088757396449708</v>
      </c>
    </row>
    <row r="57" spans="2:30" x14ac:dyDescent="0.2">
      <c r="B57" s="2">
        <v>52</v>
      </c>
      <c r="C57">
        <f t="shared" si="4"/>
        <v>742.77142857142803</v>
      </c>
      <c r="D57">
        <v>111</v>
      </c>
      <c r="E57">
        <f t="shared" si="0"/>
        <v>679.0285714285709</v>
      </c>
      <c r="F57">
        <f t="shared" si="1"/>
        <v>0</v>
      </c>
      <c r="H57">
        <v>123</v>
      </c>
      <c r="I57">
        <f t="shared" ref="I57" si="63">I56+$D$1</f>
        <v>742.77142857142837</v>
      </c>
      <c r="J57">
        <v>49</v>
      </c>
      <c r="K57">
        <f t="shared" si="2"/>
        <v>679.02857142857124</v>
      </c>
      <c r="L57">
        <f t="shared" si="3"/>
        <v>56.986193293885606</v>
      </c>
      <c r="N57">
        <v>183</v>
      </c>
      <c r="O57">
        <v>742.77142857142803</v>
      </c>
      <c r="P57">
        <v>85</v>
      </c>
      <c r="Q57">
        <f t="shared" si="36"/>
        <v>679.0285714285709</v>
      </c>
      <c r="R57">
        <f t="shared" si="37"/>
        <v>23.897435897435898</v>
      </c>
    </row>
    <row r="58" spans="2:30" x14ac:dyDescent="0.2">
      <c r="B58" s="2">
        <v>53</v>
      </c>
      <c r="C58">
        <f>C57+$D$1</f>
        <v>757.2571428571423</v>
      </c>
      <c r="D58">
        <v>111</v>
      </c>
      <c r="E58">
        <f t="shared" si="0"/>
        <v>692.3428571428567</v>
      </c>
      <c r="F58">
        <f t="shared" si="1"/>
        <v>0</v>
      </c>
      <c r="H58">
        <v>124</v>
      </c>
      <c r="I58">
        <f t="shared" ref="I58" si="64">I56+$D$1*2</f>
        <v>757.25714285714264</v>
      </c>
      <c r="J58">
        <v>54</v>
      </c>
      <c r="K58">
        <f t="shared" si="2"/>
        <v>692.34285714285693</v>
      </c>
      <c r="L58">
        <f t="shared" si="3"/>
        <v>52.390532544378701</v>
      </c>
      <c r="N58">
        <v>184</v>
      </c>
      <c r="O58">
        <v>757.2571428571423</v>
      </c>
      <c r="P58">
        <v>97</v>
      </c>
      <c r="Q58">
        <f t="shared" si="36"/>
        <v>692.3428571428567</v>
      </c>
      <c r="R58">
        <f t="shared" si="37"/>
        <v>12.86785009861933</v>
      </c>
    </row>
    <row r="59" spans="2:30" x14ac:dyDescent="0.2">
      <c r="B59" s="1">
        <v>54</v>
      </c>
      <c r="C59">
        <f>C58+$D$1</f>
        <v>771.74285714285656</v>
      </c>
      <c r="D59">
        <v>111</v>
      </c>
      <c r="E59">
        <f t="shared" si="0"/>
        <v>705.65714285714239</v>
      </c>
      <c r="F59">
        <f t="shared" si="1"/>
        <v>0</v>
      </c>
      <c r="H59">
        <v>125</v>
      </c>
      <c r="I59">
        <f t="shared" ref="I59" si="65">I58+$D$1</f>
        <v>771.74285714285691</v>
      </c>
      <c r="J59">
        <v>60</v>
      </c>
      <c r="K59">
        <f t="shared" si="2"/>
        <v>705.65714285714262</v>
      </c>
      <c r="L59">
        <f t="shared" si="3"/>
        <v>46.875739644970416</v>
      </c>
    </row>
    <row r="60" spans="2:30" x14ac:dyDescent="0.2">
      <c r="B60" s="2">
        <v>55</v>
      </c>
      <c r="C60">
        <f t="shared" si="4"/>
        <v>786.22857142857083</v>
      </c>
      <c r="D60">
        <v>111</v>
      </c>
      <c r="E60">
        <f t="shared" si="0"/>
        <v>718.97142857142808</v>
      </c>
      <c r="F60">
        <f t="shared" si="1"/>
        <v>0</v>
      </c>
      <c r="H60">
        <v>126</v>
      </c>
      <c r="I60">
        <f t="shared" ref="I60" si="66">I58+$D$1*2</f>
        <v>786.22857142857117</v>
      </c>
      <c r="J60">
        <v>65</v>
      </c>
      <c r="K60">
        <f t="shared" si="2"/>
        <v>718.97142857142831</v>
      </c>
      <c r="L60">
        <f t="shared" si="3"/>
        <v>42.280078895463511</v>
      </c>
      <c r="N60">
        <v>185</v>
      </c>
      <c r="O60">
        <v>786.22857142857083</v>
      </c>
      <c r="P60">
        <v>124</v>
      </c>
      <c r="Q60">
        <f t="shared" ref="Q60:Q66" si="67">(O60-4)*$G$1</f>
        <v>718.97142857142808</v>
      </c>
      <c r="R60">
        <f t="shared" ref="R60:R66" si="68">-(P60-111)*$G$1</f>
        <v>-11.948717948717949</v>
      </c>
    </row>
    <row r="61" spans="2:30" x14ac:dyDescent="0.2">
      <c r="B61" s="2">
        <v>56</v>
      </c>
      <c r="C61">
        <f>C60+$D$1</f>
        <v>800.7142857142851</v>
      </c>
      <c r="D61">
        <v>111</v>
      </c>
      <c r="E61">
        <f t="shared" si="0"/>
        <v>732.28571428571377</v>
      </c>
      <c r="F61">
        <f t="shared" si="1"/>
        <v>0</v>
      </c>
      <c r="H61">
        <v>127</v>
      </c>
      <c r="I61">
        <f t="shared" ref="I61" si="69">I60+$D$1</f>
        <v>800.71428571428544</v>
      </c>
      <c r="J61">
        <v>70</v>
      </c>
      <c r="K61">
        <f t="shared" si="2"/>
        <v>732.28571428571411</v>
      </c>
      <c r="L61">
        <f t="shared" si="3"/>
        <v>37.684418145956606</v>
      </c>
      <c r="N61">
        <v>186</v>
      </c>
      <c r="O61">
        <v>800.7142857142851</v>
      </c>
      <c r="P61">
        <v>139</v>
      </c>
      <c r="Q61">
        <f t="shared" si="67"/>
        <v>732.28571428571377</v>
      </c>
      <c r="R61">
        <f t="shared" si="68"/>
        <v>-25.735700197238661</v>
      </c>
    </row>
    <row r="62" spans="2:30" x14ac:dyDescent="0.2">
      <c r="B62" s="2">
        <v>57</v>
      </c>
      <c r="C62">
        <f>C61+$D$1</f>
        <v>815.19999999999936</v>
      </c>
      <c r="D62">
        <v>111</v>
      </c>
      <c r="E62">
        <f t="shared" si="0"/>
        <v>745.59999999999945</v>
      </c>
      <c r="F62">
        <f t="shared" si="1"/>
        <v>0</v>
      </c>
      <c r="H62">
        <v>128</v>
      </c>
      <c r="I62">
        <f t="shared" ref="I62" si="70">I60+$D$1*2</f>
        <v>815.1999999999997</v>
      </c>
      <c r="J62">
        <v>74</v>
      </c>
      <c r="K62">
        <f t="shared" si="2"/>
        <v>745.5999999999998</v>
      </c>
      <c r="L62">
        <f t="shared" si="3"/>
        <v>34.007889546351088</v>
      </c>
      <c r="N62">
        <v>187</v>
      </c>
      <c r="O62">
        <v>815.19999999999936</v>
      </c>
      <c r="P62">
        <v>154</v>
      </c>
      <c r="Q62">
        <f t="shared" si="67"/>
        <v>745.59999999999945</v>
      </c>
      <c r="R62">
        <f t="shared" si="68"/>
        <v>-39.522682445759372</v>
      </c>
      <c r="T62">
        <v>193</v>
      </c>
      <c r="U62">
        <v>815.19999999999936</v>
      </c>
      <c r="V62">
        <v>94</v>
      </c>
      <c r="W62">
        <f t="shared" ref="W62" si="71">(U62-4)*$G$1</f>
        <v>745.59999999999945</v>
      </c>
      <c r="X62">
        <f t="shared" ref="X62" si="72">-(V62-111)*$G$1</f>
        <v>15.625246548323473</v>
      </c>
      <c r="Z62">
        <v>195</v>
      </c>
      <c r="AA62">
        <v>815.19999999999936</v>
      </c>
      <c r="AB62">
        <v>127</v>
      </c>
      <c r="AC62">
        <f t="shared" ref="AC62" si="73">(AA62-4)*$G$1</f>
        <v>745.59999999999945</v>
      </c>
      <c r="AD62">
        <f t="shared" ref="AD62" si="74">-(AB62-111)*$G$1</f>
        <v>-14.706114398422091</v>
      </c>
    </row>
    <row r="63" spans="2:30" x14ac:dyDescent="0.2">
      <c r="B63" s="2">
        <v>58</v>
      </c>
      <c r="C63">
        <f t="shared" si="4"/>
        <v>829.68571428571363</v>
      </c>
      <c r="D63">
        <v>111</v>
      </c>
      <c r="E63">
        <f t="shared" si="0"/>
        <v>758.91428571428514</v>
      </c>
      <c r="F63">
        <f t="shared" si="1"/>
        <v>0</v>
      </c>
      <c r="H63">
        <v>129</v>
      </c>
      <c r="I63">
        <f t="shared" ref="I63" si="75">I62+$D$1</f>
        <v>829.68571428571397</v>
      </c>
      <c r="J63">
        <v>78</v>
      </c>
      <c r="K63">
        <f t="shared" si="2"/>
        <v>758.91428571428548</v>
      </c>
      <c r="L63">
        <f t="shared" si="3"/>
        <v>30.331360946745562</v>
      </c>
      <c r="N63">
        <v>188</v>
      </c>
      <c r="O63">
        <v>829.68571428571363</v>
      </c>
      <c r="P63">
        <v>143</v>
      </c>
      <c r="Q63">
        <f t="shared" si="67"/>
        <v>758.91428571428514</v>
      </c>
      <c r="R63">
        <f t="shared" si="68"/>
        <v>-29.412228796844182</v>
      </c>
    </row>
    <row r="64" spans="2:30" x14ac:dyDescent="0.2">
      <c r="B64" s="2">
        <v>59</v>
      </c>
      <c r="C64">
        <f t="shared" si="4"/>
        <v>844.1714285714279</v>
      </c>
      <c r="D64">
        <v>111</v>
      </c>
      <c r="E64">
        <f t="shared" si="0"/>
        <v>772.22857142857083</v>
      </c>
      <c r="F64">
        <f t="shared" si="1"/>
        <v>0</v>
      </c>
      <c r="H64">
        <v>130</v>
      </c>
      <c r="I64">
        <f t="shared" ref="I64" si="76">I62+$D$1*2</f>
        <v>844.17142857142824</v>
      </c>
      <c r="J64">
        <v>82</v>
      </c>
      <c r="K64">
        <f t="shared" si="2"/>
        <v>772.22857142857117</v>
      </c>
      <c r="L64">
        <f t="shared" si="3"/>
        <v>26.65483234714004</v>
      </c>
      <c r="N64">
        <v>189</v>
      </c>
      <c r="O64">
        <v>844.1714285714279</v>
      </c>
      <c r="P64">
        <v>133</v>
      </c>
      <c r="Q64">
        <f t="shared" si="67"/>
        <v>772.22857142857083</v>
      </c>
      <c r="R64">
        <f t="shared" si="68"/>
        <v>-20.220907297830376</v>
      </c>
    </row>
    <row r="65" spans="2:18" x14ac:dyDescent="0.2">
      <c r="B65" s="2">
        <v>60</v>
      </c>
      <c r="C65">
        <f t="shared" si="4"/>
        <v>858.65714285714216</v>
      </c>
      <c r="D65">
        <v>111</v>
      </c>
      <c r="E65">
        <f t="shared" si="0"/>
        <v>785.54285714285652</v>
      </c>
      <c r="F65">
        <f t="shared" si="1"/>
        <v>0</v>
      </c>
      <c r="H65">
        <v>131</v>
      </c>
      <c r="I65">
        <f t="shared" ref="I65" si="77">I64+$D$1</f>
        <v>858.6571428571425</v>
      </c>
      <c r="J65">
        <v>85</v>
      </c>
      <c r="K65">
        <f t="shared" si="2"/>
        <v>785.54285714285686</v>
      </c>
      <c r="L65">
        <f t="shared" si="3"/>
        <v>23.897435897435898</v>
      </c>
      <c r="N65">
        <v>190</v>
      </c>
      <c r="O65">
        <v>858.65714285714216</v>
      </c>
      <c r="P65">
        <v>125</v>
      </c>
      <c r="Q65">
        <f t="shared" si="67"/>
        <v>785.54285714285652</v>
      </c>
      <c r="R65">
        <f t="shared" si="68"/>
        <v>-12.86785009861933</v>
      </c>
    </row>
    <row r="66" spans="2:18" x14ac:dyDescent="0.2">
      <c r="B66">
        <v>61</v>
      </c>
      <c r="C66">
        <f t="shared" si="4"/>
        <v>873.14285714285643</v>
      </c>
      <c r="D66">
        <v>111</v>
      </c>
      <c r="E66">
        <f t="shared" si="0"/>
        <v>798.85714285714221</v>
      </c>
      <c r="F66">
        <f t="shared" si="1"/>
        <v>0</v>
      </c>
      <c r="H66">
        <v>132</v>
      </c>
      <c r="I66">
        <f t="shared" ref="I66" si="78">I64+$D$1*2</f>
        <v>873.14285714285677</v>
      </c>
      <c r="J66">
        <v>87</v>
      </c>
      <c r="K66">
        <f t="shared" si="2"/>
        <v>798.85714285714255</v>
      </c>
      <c r="L66">
        <f t="shared" si="3"/>
        <v>22.059171597633139</v>
      </c>
      <c r="N66">
        <v>191</v>
      </c>
      <c r="O66">
        <v>873.14285714285643</v>
      </c>
      <c r="P66">
        <v>117</v>
      </c>
      <c r="Q66">
        <f t="shared" si="67"/>
        <v>798.85714285714221</v>
      </c>
      <c r="R66">
        <f t="shared" si="68"/>
        <v>-5.5147928994082847</v>
      </c>
    </row>
    <row r="67" spans="2:18" x14ac:dyDescent="0.2">
      <c r="B67" s="1">
        <v>62</v>
      </c>
      <c r="C67">
        <f t="shared" si="4"/>
        <v>887.62857142857069</v>
      </c>
      <c r="D67">
        <v>111</v>
      </c>
      <c r="E67">
        <f t="shared" si="0"/>
        <v>812.1714285714279</v>
      </c>
      <c r="F67">
        <f t="shared" si="1"/>
        <v>0</v>
      </c>
      <c r="H67">
        <v>133</v>
      </c>
      <c r="I67">
        <f t="shared" ref="I67" si="79">I66+$D$1</f>
        <v>887.62857142857104</v>
      </c>
      <c r="J67">
        <v>90</v>
      </c>
      <c r="K67">
        <f t="shared" si="2"/>
        <v>812.17142857142824</v>
      </c>
      <c r="L67">
        <f t="shared" si="3"/>
        <v>19.301775147928996</v>
      </c>
    </row>
    <row r="68" spans="2:18" x14ac:dyDescent="0.2">
      <c r="B68">
        <v>63</v>
      </c>
      <c r="C68">
        <f t="shared" si="4"/>
        <v>902.11428571428496</v>
      </c>
      <c r="D68">
        <v>111</v>
      </c>
      <c r="E68">
        <f t="shared" si="0"/>
        <v>825.48571428571358</v>
      </c>
      <c r="F68">
        <f t="shared" si="1"/>
        <v>0</v>
      </c>
      <c r="H68">
        <v>134</v>
      </c>
      <c r="I68">
        <f t="shared" ref="I68" si="80">I66+$D$1*2</f>
        <v>902.1142857142853</v>
      </c>
      <c r="J68">
        <v>92</v>
      </c>
      <c r="K68">
        <f t="shared" si="2"/>
        <v>825.48571428571393</v>
      </c>
      <c r="L68">
        <f t="shared" si="3"/>
        <v>17.463510848126234</v>
      </c>
    </row>
    <row r="69" spans="2:18" x14ac:dyDescent="0.2">
      <c r="B69">
        <v>64</v>
      </c>
      <c r="C69">
        <f>C68+$D$1</f>
        <v>916.59999999999923</v>
      </c>
      <c r="D69">
        <v>111</v>
      </c>
      <c r="E69">
        <f t="shared" si="0"/>
        <v>838.79999999999927</v>
      </c>
      <c r="F69">
        <f t="shared" si="1"/>
        <v>0</v>
      </c>
      <c r="H69">
        <v>135</v>
      </c>
      <c r="I69">
        <f t="shared" ref="I69" si="81">I68+$D$1</f>
        <v>916.59999999999957</v>
      </c>
      <c r="J69">
        <v>93</v>
      </c>
      <c r="K69">
        <f t="shared" si="2"/>
        <v>838.79999999999961</v>
      </c>
      <c r="L69">
        <f t="shared" si="3"/>
        <v>16.544378698224854</v>
      </c>
    </row>
    <row r="70" spans="2:18" x14ac:dyDescent="0.2">
      <c r="B70">
        <v>65</v>
      </c>
      <c r="C70">
        <f>C69+$D$1</f>
        <v>931.08571428571349</v>
      </c>
      <c r="D70">
        <v>111</v>
      </c>
      <c r="E70">
        <f t="shared" si="0"/>
        <v>852.11428571428496</v>
      </c>
      <c r="F70">
        <f t="shared" si="1"/>
        <v>0</v>
      </c>
      <c r="H70">
        <v>136</v>
      </c>
      <c r="I70">
        <f t="shared" ref="I70" si="82">I68+$D$1*2</f>
        <v>931.08571428571383</v>
      </c>
      <c r="J70">
        <v>94</v>
      </c>
      <c r="K70">
        <f t="shared" si="2"/>
        <v>852.1142857142853</v>
      </c>
      <c r="L70">
        <f t="shared" si="3"/>
        <v>15.625246548323473</v>
      </c>
    </row>
    <row r="71" spans="2:18" x14ac:dyDescent="0.2">
      <c r="B71">
        <v>66</v>
      </c>
      <c r="C71">
        <f t="shared" si="4"/>
        <v>945.57142857142776</v>
      </c>
      <c r="D71">
        <v>111</v>
      </c>
      <c r="E71">
        <f t="shared" ref="E71:E76" si="83">(C71-4)*$G$1</f>
        <v>865.42857142857076</v>
      </c>
      <c r="F71">
        <f t="shared" ref="F71:F76" si="84">-(D71-111)*$G$1</f>
        <v>0</v>
      </c>
      <c r="H71">
        <v>137</v>
      </c>
      <c r="I71">
        <f t="shared" ref="I71" si="85">I70+$D$1</f>
        <v>945.5714285714281</v>
      </c>
      <c r="J71">
        <v>95</v>
      </c>
      <c r="K71">
        <f t="shared" ref="K71:K76" si="86">(I71-4)*$G$1</f>
        <v>865.42857142857099</v>
      </c>
      <c r="L71">
        <f t="shared" ref="L71:L76" si="87">-(J71-111)*$G$1</f>
        <v>14.706114398422091</v>
      </c>
    </row>
    <row r="72" spans="2:18" x14ac:dyDescent="0.2">
      <c r="B72">
        <v>67</v>
      </c>
      <c r="C72">
        <f t="shared" si="4"/>
        <v>960.05714285714203</v>
      </c>
      <c r="D72">
        <v>111</v>
      </c>
      <c r="E72">
        <f t="shared" si="83"/>
        <v>878.74285714285645</v>
      </c>
      <c r="F72">
        <f t="shared" si="84"/>
        <v>0</v>
      </c>
      <c r="H72">
        <v>138</v>
      </c>
      <c r="I72">
        <f t="shared" ref="I72" si="88">I70+$D$1*2</f>
        <v>960.05714285714237</v>
      </c>
      <c r="J72">
        <v>96</v>
      </c>
      <c r="K72">
        <f t="shared" si="86"/>
        <v>878.74285714285668</v>
      </c>
      <c r="L72">
        <f t="shared" si="87"/>
        <v>13.78698224852071</v>
      </c>
    </row>
    <row r="73" spans="2:18" x14ac:dyDescent="0.2">
      <c r="B73">
        <v>68</v>
      </c>
      <c r="C73">
        <f t="shared" ref="C73:C75" si="89">C72+$D$1</f>
        <v>974.54285714285629</v>
      </c>
      <c r="D73">
        <v>111</v>
      </c>
      <c r="E73">
        <f t="shared" si="83"/>
        <v>892.05714285714214</v>
      </c>
      <c r="F73">
        <f t="shared" si="84"/>
        <v>0</v>
      </c>
      <c r="H73">
        <v>139</v>
      </c>
      <c r="I73">
        <f t="shared" ref="I73" si="90">I72+$D$1</f>
        <v>974.54285714285663</v>
      </c>
      <c r="J73">
        <v>97</v>
      </c>
      <c r="K73">
        <f t="shared" si="86"/>
        <v>892.05714285714237</v>
      </c>
      <c r="L73">
        <f t="shared" si="87"/>
        <v>12.86785009861933</v>
      </c>
    </row>
    <row r="74" spans="2:18" x14ac:dyDescent="0.2">
      <c r="B74">
        <v>69</v>
      </c>
      <c r="C74">
        <f t="shared" si="89"/>
        <v>989.02857142857056</v>
      </c>
      <c r="D74">
        <v>111</v>
      </c>
      <c r="E74">
        <f t="shared" si="83"/>
        <v>905.37142857142783</v>
      </c>
      <c r="F74">
        <f t="shared" si="84"/>
        <v>0</v>
      </c>
      <c r="H74">
        <v>140</v>
      </c>
      <c r="I74">
        <f t="shared" ref="I74" si="91">I72+$D$1*2</f>
        <v>989.0285714285709</v>
      </c>
      <c r="J74">
        <v>97</v>
      </c>
      <c r="K74">
        <f t="shared" si="86"/>
        <v>905.37142857142817</v>
      </c>
      <c r="L74">
        <f t="shared" si="87"/>
        <v>12.86785009861933</v>
      </c>
    </row>
    <row r="75" spans="2:18" x14ac:dyDescent="0.2">
      <c r="B75">
        <v>70</v>
      </c>
      <c r="C75">
        <f t="shared" si="89"/>
        <v>1003.5142857142848</v>
      </c>
      <c r="D75">
        <v>111</v>
      </c>
      <c r="E75">
        <f t="shared" si="83"/>
        <v>918.68571428571352</v>
      </c>
      <c r="F75">
        <f t="shared" si="84"/>
        <v>0</v>
      </c>
      <c r="H75">
        <v>141</v>
      </c>
      <c r="I75">
        <f t="shared" ref="I75" si="92">I74+$D$1</f>
        <v>1003.5142857142852</v>
      </c>
      <c r="J75">
        <v>97</v>
      </c>
      <c r="K75">
        <f t="shared" si="86"/>
        <v>918.68571428571386</v>
      </c>
      <c r="L75">
        <f t="shared" si="87"/>
        <v>12.86785009861933</v>
      </c>
    </row>
    <row r="76" spans="2:18" x14ac:dyDescent="0.2">
      <c r="B76" s="1">
        <v>71</v>
      </c>
      <c r="C76">
        <v>1018</v>
      </c>
      <c r="D76">
        <v>111</v>
      </c>
      <c r="E76">
        <f t="shared" si="83"/>
        <v>932</v>
      </c>
      <c r="F76">
        <f t="shared" si="84"/>
        <v>0</v>
      </c>
      <c r="H76" s="1">
        <v>142</v>
      </c>
      <c r="I76">
        <v>1018</v>
      </c>
      <c r="J76">
        <v>97</v>
      </c>
      <c r="K76">
        <f t="shared" si="86"/>
        <v>932</v>
      </c>
      <c r="L76">
        <f t="shared" si="87"/>
        <v>12.86785009861933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 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Chisung</dc:creator>
  <cp:lastModifiedBy>Kim, Chisung</cp:lastModifiedBy>
  <dcterms:created xsi:type="dcterms:W3CDTF">2026-04-16T09:10:08Z</dcterms:created>
  <dcterms:modified xsi:type="dcterms:W3CDTF">2026-04-24T07:12:38Z</dcterms:modified>
</cp:coreProperties>
</file>